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2"/>
  </bookViews>
  <sheets>
    <sheet name="CSI" sheetId="1" r:id="rId1"/>
    <sheet name="江都" sheetId="2" r:id="rId2"/>
    <sheet name="省建" sheetId="3" r:id="rId3"/>
    <sheet name="科林" sheetId="4" r:id="rId4"/>
  </sheets>
  <externalReferences>
    <externalReference r:id="rId5"/>
    <externalReference r:id="rId6"/>
  </externalReferences>
  <definedNames>
    <definedName name="_xlnm._FilterDatabase" hidden="1">[2]休假意愿!$A$2:$H$26</definedName>
    <definedName name="SADGAF" hidden="1">[1]休假意愿!$A$2:$H$26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<sst xmlns="http://schemas.openxmlformats.org/spreadsheetml/2006/main" count="1284" uniqueCount="764">
  <si>
    <t>总序</t>
  </si>
  <si>
    <t>国内信息</t>
  </si>
  <si>
    <t>护照信息</t>
  </si>
  <si>
    <t>出入境信息</t>
  </si>
  <si>
    <t>序号</t>
  </si>
  <si>
    <t>中文名</t>
  </si>
  <si>
    <t>英文名</t>
  </si>
  <si>
    <t>Badge号</t>
  </si>
  <si>
    <t>岗位</t>
  </si>
  <si>
    <t>员工类别</t>
  </si>
  <si>
    <t>年龄</t>
  </si>
  <si>
    <t>当前工作地点</t>
  </si>
  <si>
    <t>部门名称</t>
  </si>
  <si>
    <t>身份证号</t>
  </si>
  <si>
    <t>出生日期</t>
  </si>
  <si>
    <t>联系电话</t>
  </si>
  <si>
    <t>国内常住省
（直辖市）</t>
  </si>
  <si>
    <t>市</t>
  </si>
  <si>
    <t>县/区</t>
  </si>
  <si>
    <t>市、区县、街道、小区等具体地址</t>
  </si>
  <si>
    <t>家属姓名</t>
  </si>
  <si>
    <t>护照号</t>
  </si>
  <si>
    <t>护照过期日期</t>
  </si>
  <si>
    <t>距护照过期天数</t>
  </si>
  <si>
    <t>出国日期</t>
  </si>
  <si>
    <t>入境伊拉克日期</t>
  </si>
  <si>
    <t>工作天数</t>
  </si>
  <si>
    <t>王从敏</t>
  </si>
  <si>
    <t>Wang Congmin</t>
  </si>
  <si>
    <t>工程管理</t>
  </si>
  <si>
    <t>正式员工</t>
  </si>
  <si>
    <t>伊拉克巴士拉马吉农油田项目部</t>
  </si>
  <si>
    <t>马吉农项目部</t>
  </si>
  <si>
    <t>51052519930721435X</t>
  </si>
  <si>
    <t>四川省</t>
  </si>
  <si>
    <t>古蔺县</t>
  </si>
  <si>
    <t>金星乡</t>
  </si>
  <si>
    <t>四川省古蔺县金星乡金星村</t>
  </si>
  <si>
    <t>王勇</t>
  </si>
  <si>
    <t>PE3264845</t>
  </si>
  <si>
    <t>赵永强</t>
  </si>
  <si>
    <t>ZHAO YONGQIANG</t>
  </si>
  <si>
    <t>项目管理</t>
  </si>
  <si>
    <t>37082819780502361X</t>
  </si>
  <si>
    <t>山东省</t>
  </si>
  <si>
    <t>西宁市</t>
  </si>
  <si>
    <t>城东区</t>
  </si>
  <si>
    <t>济南市历城区唐冶鲁商凤凰城7号楼3单元2301</t>
  </si>
  <si>
    <t>于莹</t>
  </si>
  <si>
    <t>PE2336685</t>
  </si>
  <si>
    <t>刘佰正</t>
  </si>
  <si>
    <t>LIU BAIZHENG</t>
  </si>
  <si>
    <t>37112219961215035X</t>
  </si>
  <si>
    <t>历城区中新锦绣天地东院二期</t>
  </si>
  <si>
    <t>贺智慧</t>
  </si>
  <si>
    <t>PE3094516</t>
  </si>
  <si>
    <t>黄佩霖</t>
  </si>
  <si>
    <t>Huang Peilin</t>
  </si>
  <si>
    <t>英语翻译</t>
  </si>
  <si>
    <t>外派劳务</t>
  </si>
  <si>
    <t>510682200208075970</t>
  </si>
  <si>
    <t>四川省什邡市洛水镇菜蔬佳苑2栋1单元402</t>
  </si>
  <si>
    <t>田开兰</t>
  </si>
  <si>
    <t>EL1822721</t>
  </si>
  <si>
    <t>杨坤</t>
  </si>
  <si>
    <t>Yang Kun</t>
  </si>
  <si>
    <t>640122199512072715</t>
  </si>
  <si>
    <t>宁夏回族自治区</t>
  </si>
  <si>
    <t>银川市</t>
  </si>
  <si>
    <t>贺兰县</t>
  </si>
  <si>
    <t>立岗镇永华村一社10号</t>
  </si>
  <si>
    <t>马香凤</t>
  </si>
  <si>
    <t>E82830743</t>
  </si>
  <si>
    <t>杨帅</t>
  </si>
  <si>
    <t>Yang Shuai</t>
  </si>
  <si>
    <t>阿语翻译</t>
  </si>
  <si>
    <t>640382199801013452</t>
  </si>
  <si>
    <t>兴庆区</t>
  </si>
  <si>
    <t>宁夏回族自治区银川市兴庆区上海东路99号民族运动员村9号楼201</t>
  </si>
  <si>
    <t>杨永海</t>
  </si>
  <si>
    <t>E92718337</t>
  </si>
  <si>
    <t>高志明</t>
  </si>
  <si>
    <t>GAO ZHIMING</t>
  </si>
  <si>
    <t>652701198203242231</t>
  </si>
  <si>
    <t>吴忠市</t>
  </si>
  <si>
    <t>金星镇</t>
  </si>
  <si>
    <t>宁夏回族自治区吴忠市利通区东方御苑小区</t>
  </si>
  <si>
    <t>丁淑霞</t>
  </si>
  <si>
    <t>EG5847325</t>
  </si>
  <si>
    <t>魏华成</t>
  </si>
  <si>
    <t>WEI HUACHENG</t>
  </si>
  <si>
    <t>HSE经理</t>
  </si>
  <si>
    <t>522701198409154115</t>
  </si>
  <si>
    <t>贵州省</t>
  </si>
  <si>
    <t>都匀市</t>
  </si>
  <si>
    <t>贵州省都匀市斗篷山路陆89号</t>
  </si>
  <si>
    <t>罗江涛</t>
  </si>
  <si>
    <t>EK3108201</t>
  </si>
  <si>
    <t>马海军</t>
  </si>
  <si>
    <t>MA HAIJUN</t>
  </si>
  <si>
    <t xml:space="preserve">640221199112183618  </t>
  </si>
  <si>
    <t>云南省</t>
  </si>
  <si>
    <t xml:space="preserve">文山壮族苗族自治州文山市光大君庭 </t>
  </si>
  <si>
    <t xml:space="preserve">马国林 </t>
  </si>
  <si>
    <t>EJ4687297</t>
  </si>
  <si>
    <t>赵传庆</t>
  </si>
  <si>
    <t>ZHAO CHUANQING</t>
  </si>
  <si>
    <t>医生</t>
  </si>
  <si>
    <t>370911197110136472</t>
  </si>
  <si>
    <t>泰安市</t>
  </si>
  <si>
    <t>岱岳区</t>
  </si>
  <si>
    <t>山东省泰安市岱岳区夏张镇</t>
  </si>
  <si>
    <t>马吉红</t>
  </si>
  <si>
    <t>E60826937</t>
  </si>
  <si>
    <t>常智庆</t>
  </si>
  <si>
    <t>CHANG ZHIQING</t>
  </si>
  <si>
    <t>电工</t>
  </si>
  <si>
    <t>410522197405165510</t>
  </si>
  <si>
    <t>河南省</t>
  </si>
  <si>
    <t>安阳市</t>
  </si>
  <si>
    <t>安阳县</t>
  </si>
  <si>
    <t>河南省安阳市安阳县韩陵乡朝关村</t>
  </si>
  <si>
    <t>王瑞红</t>
  </si>
  <si>
    <t>EB8117667</t>
  </si>
  <si>
    <t>陈献军</t>
  </si>
  <si>
    <t>CHEN,XIANJUN</t>
  </si>
  <si>
    <t>厨师</t>
  </si>
  <si>
    <t>410522197901133737</t>
  </si>
  <si>
    <t>15226104989</t>
  </si>
  <si>
    <t>文峰区</t>
  </si>
  <si>
    <t>河南省安阳市文峰区宝高庄镇胡管屯村304村</t>
  </si>
  <si>
    <t>任燕琴</t>
  </si>
  <si>
    <t>EK8316721</t>
  </si>
  <si>
    <t>基础信息</t>
  </si>
  <si>
    <t>田文昌</t>
  </si>
  <si>
    <t>TIAN WENGCHANG</t>
  </si>
  <si>
    <t>410521198905261574</t>
  </si>
  <si>
    <t>林州市</t>
  </si>
  <si>
    <t>合涧镇</t>
  </si>
  <si>
    <t>小屯村三池自然村</t>
  </si>
  <si>
    <t>侯静霞</t>
  </si>
  <si>
    <t>EK0330931</t>
  </si>
  <si>
    <t>于华伟</t>
  </si>
  <si>
    <t xml:space="preserve">YU HUAWEI </t>
  </si>
  <si>
    <t>钢筋工</t>
  </si>
  <si>
    <t>"412824197601233534</t>
  </si>
  <si>
    <t>驻马店市</t>
  </si>
  <si>
    <t>西平县</t>
  </si>
  <si>
    <t>宋集乡于桥村四组</t>
  </si>
  <si>
    <t>郭红霞</t>
  </si>
  <si>
    <t>EH8987696</t>
  </si>
  <si>
    <t>邵德艮</t>
  </si>
  <si>
    <t>SHAO DEGEN</t>
  </si>
  <si>
    <t>木工</t>
  </si>
  <si>
    <t>32I023197611126617</t>
  </si>
  <si>
    <t>江苏省</t>
  </si>
  <si>
    <t>宝应县</t>
  </si>
  <si>
    <t>泾河镇</t>
  </si>
  <si>
    <t>东红村居兴组53号</t>
  </si>
  <si>
    <t>顾玉霞</t>
  </si>
  <si>
    <t>EF0811454</t>
  </si>
  <si>
    <t>胡长征</t>
  </si>
  <si>
    <t>HU CHANGZHENG</t>
  </si>
  <si>
    <t>321088196710016191</t>
  </si>
  <si>
    <t>扬州市</t>
  </si>
  <si>
    <t>江都区</t>
  </si>
  <si>
    <t>浦头镇胡坝村胡坝组8号</t>
  </si>
  <si>
    <t>陆翠萍</t>
  </si>
  <si>
    <t>EM5702575</t>
  </si>
  <si>
    <t>张明</t>
  </si>
  <si>
    <t>ZHANG MING</t>
  </si>
  <si>
    <t>瓦工</t>
  </si>
  <si>
    <t>321088196903066138</t>
  </si>
  <si>
    <t>吴桥镇李桥村许岱组13号</t>
  </si>
  <si>
    <t>张福琴</t>
  </si>
  <si>
    <t>EM1905195</t>
  </si>
  <si>
    <t>黄仁华</t>
  </si>
  <si>
    <t>HUANG RENHUA</t>
  </si>
  <si>
    <t>321088196802196953</t>
  </si>
  <si>
    <t>浦头镇清风组64号</t>
  </si>
  <si>
    <t>黄伟</t>
  </si>
  <si>
    <t>EJ3774886</t>
  </si>
  <si>
    <t>曹卫忠</t>
  </si>
  <si>
    <t xml:space="preserve">CAO WEIZHONG </t>
  </si>
  <si>
    <t>项目总工</t>
  </si>
  <si>
    <t>,320625197409285432</t>
  </si>
  <si>
    <t>南通市</t>
  </si>
  <si>
    <t>海门区</t>
  </si>
  <si>
    <t>东海路江城一品41栋</t>
  </si>
  <si>
    <t>陈静</t>
  </si>
  <si>
    <t>EE9496559</t>
  </si>
  <si>
    <t>陈林</t>
  </si>
  <si>
    <t>CHEN LIN</t>
  </si>
  <si>
    <t>经理</t>
  </si>
  <si>
    <t>321087198110102859</t>
  </si>
  <si>
    <t>泰州市</t>
  </si>
  <si>
    <t>高新区</t>
  </si>
  <si>
    <t>明珠街道祥龙家园26栋1205</t>
  </si>
  <si>
    <t>徐玲</t>
  </si>
  <si>
    <t>EN3433755</t>
  </si>
  <si>
    <t>李长领</t>
  </si>
  <si>
    <t>LI CHANGLING</t>
  </si>
  <si>
    <t>410928197712096615</t>
  </si>
  <si>
    <t>濮阳县</t>
  </si>
  <si>
    <t>海通乡</t>
  </si>
  <si>
    <t>小海通村</t>
  </si>
  <si>
    <t>宋冬玲</t>
  </si>
  <si>
    <t>EM7490734</t>
  </si>
  <si>
    <t>施锦飞</t>
  </si>
  <si>
    <t>SHI JINFEI</t>
  </si>
  <si>
    <t>320626197104095415</t>
  </si>
  <si>
    <t>启东市</t>
  </si>
  <si>
    <t>新安镇</t>
  </si>
  <si>
    <t>丰利村九组89号</t>
  </si>
  <si>
    <t>丁礼琴</t>
  </si>
  <si>
    <t>EC7419800</t>
  </si>
  <si>
    <t>林华军</t>
  </si>
  <si>
    <t xml:space="preserve">LIN HUAJUN </t>
  </si>
  <si>
    <t>弱电</t>
  </si>
  <si>
    <t>321081198211223010</t>
  </si>
  <si>
    <t>仪征市</t>
  </si>
  <si>
    <t>马集镇</t>
  </si>
  <si>
    <t>蔡湖村小营组7号</t>
  </si>
  <si>
    <t>张海燕</t>
  </si>
  <si>
    <t>EJ4756695</t>
  </si>
  <si>
    <t>王军</t>
  </si>
  <si>
    <t xml:space="preserve">WANG JUN </t>
  </si>
  <si>
    <t>321088197510116936</t>
  </si>
  <si>
    <t>江都市</t>
  </si>
  <si>
    <t>浦头镇</t>
  </si>
  <si>
    <t>王庄村向阳组76号</t>
  </si>
  <si>
    <t>徐金凤</t>
  </si>
  <si>
    <t>EB5827945</t>
  </si>
  <si>
    <t>杨振涛</t>
  </si>
  <si>
    <t>YANG ZHENTAO</t>
  </si>
  <si>
    <t>410724197805182516</t>
  </si>
  <si>
    <t>新乡市</t>
  </si>
  <si>
    <t>获嘉县</t>
  </si>
  <si>
    <t>位庄乡中渔池村北路西街20号</t>
  </si>
  <si>
    <t>杨雪</t>
  </si>
  <si>
    <t>EM4428437</t>
  </si>
  <si>
    <t>张正明</t>
  </si>
  <si>
    <t xml:space="preserve">ZHANG ZHENGMING </t>
  </si>
  <si>
    <t>321088197611207335</t>
  </si>
  <si>
    <t>大桥镇杨桥村兴五组14号</t>
  </si>
  <si>
    <t>王晓勤</t>
  </si>
  <si>
    <t>EC4990530</t>
  </si>
  <si>
    <t>周从坤</t>
  </si>
  <si>
    <t>ZHOU CONGKUN</t>
  </si>
  <si>
    <t>321023198411033496</t>
  </si>
  <si>
    <t>山阳镇</t>
  </si>
  <si>
    <t>徐庄村后梁组10号</t>
  </si>
  <si>
    <t>董春丽</t>
  </si>
  <si>
    <t>EA4852607</t>
  </si>
  <si>
    <t>王力</t>
  </si>
  <si>
    <t>WANG LI</t>
  </si>
  <si>
    <t>总工</t>
  </si>
  <si>
    <t>321088199211262959</t>
  </si>
  <si>
    <t>真武镇渔港村牌坊组</t>
  </si>
  <si>
    <t>刘雅悦</t>
  </si>
  <si>
    <t>E89051050</t>
  </si>
  <si>
    <t>刘冬</t>
  </si>
  <si>
    <t>LIU DONG</t>
  </si>
  <si>
    <t>工程师</t>
  </si>
  <si>
    <t>321088199011196918</t>
  </si>
  <si>
    <t>邗江区</t>
  </si>
  <si>
    <t>梅岭街道马太巷18号</t>
  </si>
  <si>
    <t>龚彬</t>
  </si>
  <si>
    <t>EM4044028</t>
  </si>
  <si>
    <t>张华</t>
  </si>
  <si>
    <t>ZHANG HUA</t>
  </si>
  <si>
    <t>370911197311043619</t>
  </si>
  <si>
    <t>徂徕镇土门村414号</t>
  </si>
  <si>
    <t>EK2934758</t>
  </si>
  <si>
    <t>顾洪海</t>
  </si>
  <si>
    <t>Gu Honghai</t>
  </si>
  <si>
    <t>32092319731212541X</t>
  </si>
  <si>
    <t>阜宁县</t>
  </si>
  <si>
    <t>益林镇</t>
  </si>
  <si>
    <t>管计街27号</t>
  </si>
  <si>
    <t>毕忠会</t>
  </si>
  <si>
    <t>EP1915947</t>
  </si>
  <si>
    <t>宋伟</t>
  </si>
  <si>
    <t>Song Wei</t>
  </si>
  <si>
    <t>410523197212116516</t>
  </si>
  <si>
    <t>汤阴县</t>
  </si>
  <si>
    <t>五陵镇</t>
  </si>
  <si>
    <t>四街村151号</t>
  </si>
  <si>
    <t>贾瑞英</t>
  </si>
  <si>
    <t>EL5286010</t>
  </si>
  <si>
    <t>高中勇</t>
  </si>
  <si>
    <t>Gao Zhongyong</t>
  </si>
  <si>
    <t>320828197401201230</t>
  </si>
  <si>
    <t>淮安市</t>
  </si>
  <si>
    <t>淮安区</t>
  </si>
  <si>
    <t>平桥镇张庙村桥口组7号</t>
  </si>
  <si>
    <t>高婷婷</t>
  </si>
  <si>
    <t>EK9483265</t>
  </si>
  <si>
    <t>王战军</t>
  </si>
  <si>
    <t>Wang Zhanjun</t>
  </si>
  <si>
    <t>410724197109117016</t>
  </si>
  <si>
    <t>史庄镇</t>
  </si>
  <si>
    <t>十里铺村司徒街东十三排435号</t>
  </si>
  <si>
    <t>贺香枝</t>
  </si>
  <si>
    <t>EJ6278894</t>
  </si>
  <si>
    <t>龚彐峰</t>
  </si>
  <si>
    <t>Gong Jifeng</t>
  </si>
  <si>
    <t>320625197910134910</t>
  </si>
  <si>
    <t>海门市</t>
  </si>
  <si>
    <t>三星镇</t>
  </si>
  <si>
    <t>金锁村三十九组28号</t>
  </si>
  <si>
    <t>陆晓亚</t>
  </si>
  <si>
    <t>EJ5633992</t>
  </si>
  <si>
    <t>周长保</t>
  </si>
  <si>
    <t>Zhou Changbao</t>
  </si>
  <si>
    <t>油漆工</t>
  </si>
  <si>
    <t>420525198009060851</t>
  </si>
  <si>
    <t>环镇东路99号</t>
  </si>
  <si>
    <t>李开菊</t>
  </si>
  <si>
    <t>EJ5632951</t>
  </si>
  <si>
    <t>杨朝晖</t>
  </si>
  <si>
    <t>Yang Chaohui</t>
  </si>
  <si>
    <t>321088197208227117</t>
  </si>
  <si>
    <t>大桥镇</t>
  </si>
  <si>
    <t>董岔村联星组51号</t>
  </si>
  <si>
    <t>周小燕</t>
  </si>
  <si>
    <t>EP3930098</t>
  </si>
  <si>
    <t>赵庆旺</t>
  </si>
  <si>
    <t>Zhao Qingwang</t>
  </si>
  <si>
    <t>321088196704297312</t>
  </si>
  <si>
    <t>大桥镇太字村赵巷组9号</t>
  </si>
  <si>
    <t>赵玉珑</t>
  </si>
  <si>
    <t>EG4288504</t>
  </si>
  <si>
    <t>田永丰</t>
  </si>
  <si>
    <t>Tian Yongfeng</t>
  </si>
  <si>
    <t>321081197611203014</t>
  </si>
  <si>
    <t>蔡湖村刘岗组23号</t>
  </si>
  <si>
    <t>王金秀</t>
  </si>
  <si>
    <t>EL1251700</t>
  </si>
  <si>
    <t>张露露</t>
  </si>
  <si>
    <t>ZHANG LULU</t>
  </si>
  <si>
    <t>弱电工程师</t>
  </si>
  <si>
    <t>421125199110011214</t>
  </si>
  <si>
    <t>湖北省</t>
  </si>
  <si>
    <t>黄冈市</t>
  </si>
  <si>
    <t>浠水县</t>
  </si>
  <si>
    <t>巴河镇碧峰村六组</t>
  </si>
  <si>
    <t>王梦瑶</t>
  </si>
  <si>
    <t>EM8512080</t>
  </si>
  <si>
    <t>321088197106156936</t>
  </si>
  <si>
    <t>浦头镇王庄新民生产队64一2</t>
  </si>
  <si>
    <t>栾爱民</t>
  </si>
  <si>
    <t>EJ5424636</t>
  </si>
  <si>
    <t>倪红军</t>
  </si>
  <si>
    <t>NI HONGJUN</t>
  </si>
  <si>
    <t>321026197209165932</t>
  </si>
  <si>
    <t>大桥镇三义村三组4号</t>
  </si>
  <si>
    <t>龚银华</t>
  </si>
  <si>
    <t>E85865550</t>
  </si>
  <si>
    <t>朱增站</t>
  </si>
  <si>
    <t>ZHU ZENGZHAN</t>
  </si>
  <si>
    <t>610528198202158935</t>
  </si>
  <si>
    <t>陕西省</t>
  </si>
  <si>
    <t>渭南市</t>
  </si>
  <si>
    <t>富平县</t>
  </si>
  <si>
    <t>底店乡下沟村下沟组</t>
  </si>
  <si>
    <t>朱健国</t>
  </si>
  <si>
    <t>EJ5299382</t>
  </si>
  <si>
    <t>周思辰</t>
  </si>
  <si>
    <t xml:space="preserve">ZHOU SICHEN </t>
  </si>
  <si>
    <t>计划</t>
  </si>
  <si>
    <t>320104200009261218</t>
  </si>
  <si>
    <t>南京市</t>
  </si>
  <si>
    <t>建邺区</t>
  </si>
  <si>
    <t>南京市建邺区茶亭村57号21幢401室</t>
  </si>
  <si>
    <t>EK9910659</t>
  </si>
  <si>
    <t>佴小虎</t>
  </si>
  <si>
    <t xml:space="preserve">NAI XIAOHU </t>
  </si>
  <si>
    <t>321088197404033950</t>
  </si>
  <si>
    <t>丁沟镇</t>
  </si>
  <si>
    <t>麻村村第九组41号</t>
  </si>
  <si>
    <t>彭如燕</t>
  </si>
  <si>
    <t>EJ4980026</t>
  </si>
  <si>
    <t xml:space="preserve">陈根
</t>
  </si>
  <si>
    <t xml:space="preserve">CHEN GEN 
</t>
  </si>
  <si>
    <t>421125199009290976</t>
  </si>
  <si>
    <t>浠水县巴河镇碧峰村五组丛树林</t>
  </si>
  <si>
    <t>何霞</t>
  </si>
  <si>
    <t>EJ9504276</t>
  </si>
  <si>
    <t>王良喜</t>
  </si>
  <si>
    <t>WANG,LIANGXI</t>
  </si>
  <si>
    <t>分包/瓦工</t>
  </si>
  <si>
    <t>422103198005252014</t>
  </si>
  <si>
    <t>团风县</t>
  </si>
  <si>
    <t>淋山河镇泡树岗村二组</t>
  </si>
  <si>
    <t>邵桃爱</t>
  </si>
  <si>
    <t>EJ6724198</t>
  </si>
  <si>
    <t>欧顺兵</t>
  </si>
  <si>
    <t>OU SHUNBING</t>
  </si>
  <si>
    <t>321023197906026613</t>
  </si>
  <si>
    <t>黄浦村阎庄组15号</t>
  </si>
  <si>
    <t>刘红祝</t>
  </si>
  <si>
    <t>EK9916912</t>
  </si>
  <si>
    <t>狄爱森</t>
  </si>
  <si>
    <t>DI AISEN</t>
  </si>
  <si>
    <t>壮工</t>
  </si>
  <si>
    <t>41122319770516051X</t>
  </si>
  <si>
    <t>灵宝市</t>
  </si>
  <si>
    <t>大王镇</t>
  </si>
  <si>
    <t>干店村7组161号</t>
  </si>
  <si>
    <t>范江丽</t>
  </si>
  <si>
    <t>EJ7801046</t>
  </si>
  <si>
    <t>周祥</t>
  </si>
  <si>
    <t>ZHOU XIANG</t>
  </si>
  <si>
    <t>321088196705136916</t>
  </si>
  <si>
    <t>王庄村吴岔组57号</t>
  </si>
  <si>
    <t>吴才英</t>
  </si>
  <si>
    <t>ED8842318</t>
  </si>
  <si>
    <t>刘进峰</t>
  </si>
  <si>
    <t xml:space="preserve">Liu Jinfeng </t>
  </si>
  <si>
    <t>工人</t>
  </si>
  <si>
    <t>分包商员工</t>
  </si>
  <si>
    <t>410922197611104112</t>
  </si>
  <si>
    <t>河南省清丰县柳格乡前土元子村</t>
  </si>
  <si>
    <t>李瑞花</t>
  </si>
  <si>
    <t>EA2626526</t>
  </si>
  <si>
    <t>郭允峰</t>
  </si>
  <si>
    <t>Guo Yunfeng</t>
  </si>
  <si>
    <t>370830197310053915</t>
  </si>
  <si>
    <t>济宁市汶上县次丘镇刘庄村</t>
  </si>
  <si>
    <t>郑翠云</t>
  </si>
  <si>
    <t>EJ4861094</t>
  </si>
  <si>
    <t>刘三厚</t>
  </si>
  <si>
    <t>Liu Sanhou</t>
  </si>
  <si>
    <t>370830198211043951</t>
  </si>
  <si>
    <t>王秀田</t>
  </si>
  <si>
    <t>EK2261374</t>
  </si>
  <si>
    <t>李志义</t>
  </si>
  <si>
    <t>Li Zhiyi</t>
  </si>
  <si>
    <t>370830198306072237</t>
  </si>
  <si>
    <t>济宁市汶上县康驿镇大唐阳村西村</t>
  </si>
  <si>
    <t>吴永华</t>
  </si>
  <si>
    <t>EL6721695</t>
  </si>
  <si>
    <t>乔照峰</t>
  </si>
  <si>
    <t>Qiao Zhaofeng</t>
  </si>
  <si>
    <t>410901197104062358</t>
  </si>
  <si>
    <t>濮阳市华龙区岳村乡</t>
  </si>
  <si>
    <t>孙荷春</t>
  </si>
  <si>
    <t>EE1416723</t>
  </si>
  <si>
    <t>鲁安生</t>
  </si>
  <si>
    <t>Lu Ansheng</t>
  </si>
  <si>
    <t>410928198211115130</t>
  </si>
  <si>
    <t>濮阳县郎中乡鲁白邱村</t>
  </si>
  <si>
    <t>张春玲</t>
  </si>
  <si>
    <t>EL2901396</t>
  </si>
  <si>
    <t>鲁德胜</t>
  </si>
  <si>
    <t>Lu Desheng</t>
  </si>
  <si>
    <t>410928197402055172</t>
  </si>
  <si>
    <t>李凤玲</t>
  </si>
  <si>
    <t>EL3970138</t>
  </si>
  <si>
    <t>郭自太</t>
  </si>
  <si>
    <t>Guo Zitai</t>
  </si>
  <si>
    <t>410928197105150659</t>
  </si>
  <si>
    <t>濮阳市华龙区新习乡东土林头村10号</t>
  </si>
  <si>
    <t>马秀芸</t>
  </si>
  <si>
    <t>EL2906034</t>
  </si>
  <si>
    <t>张书衡</t>
  </si>
  <si>
    <t>ZHANG SHUHENG</t>
  </si>
  <si>
    <t>370481199002192216</t>
  </si>
  <si>
    <t>滕州市姜屯镇白持村</t>
  </si>
  <si>
    <t>程鑫</t>
  </si>
  <si>
    <t>EM9472531</t>
  </si>
  <si>
    <t>蒋圣伟</t>
  </si>
  <si>
    <t>JIANG SHENGWEI</t>
  </si>
  <si>
    <t>370911197805234415</t>
  </si>
  <si>
    <t>泰安市岱岳区房村镇西南旺村</t>
  </si>
  <si>
    <t>周升美</t>
  </si>
  <si>
    <t>EJ3080280</t>
  </si>
  <si>
    <t>隽金龙</t>
  </si>
  <si>
    <t>JUAN JINLONG</t>
  </si>
  <si>
    <t>372823197603039816</t>
  </si>
  <si>
    <t>临沂市兰陵县大庄镇龙沂庄村</t>
  </si>
  <si>
    <t>张爱梅</t>
  </si>
  <si>
    <t>EK4023537</t>
  </si>
  <si>
    <t>刘建生</t>
  </si>
  <si>
    <t>LIU JIANSHENG</t>
  </si>
  <si>
    <t>370830197808252911</t>
  </si>
  <si>
    <t>济宁市汶上县南旺镇杏林村杏林大街</t>
  </si>
  <si>
    <t>刘道胜</t>
  </si>
  <si>
    <t>EJ5446719</t>
  </si>
  <si>
    <t>陈衍芳</t>
  </si>
  <si>
    <t>CHENG YANFANG</t>
  </si>
  <si>
    <t>37082919800521665X</t>
  </si>
  <si>
    <t>济宁市嘉祥县孟集镇后杜庄村</t>
  </si>
  <si>
    <t>任六香</t>
  </si>
  <si>
    <t>E97651589</t>
  </si>
  <si>
    <t>程衍超</t>
  </si>
  <si>
    <t>CHENG YANCHAO</t>
  </si>
  <si>
    <t>37098219841029339X</t>
  </si>
  <si>
    <t>新泰市宫里镇宫北村</t>
  </si>
  <si>
    <t>安如娜</t>
  </si>
  <si>
    <t>ED9559358</t>
  </si>
  <si>
    <t>胡群之</t>
  </si>
  <si>
    <t>HU QUNZHI</t>
  </si>
  <si>
    <t>370830198308061734</t>
  </si>
  <si>
    <t>济宁市汶上县南站镇西李尹村</t>
  </si>
  <si>
    <t>王呈勇</t>
  </si>
  <si>
    <t>EL6751262</t>
  </si>
  <si>
    <t>冯立冬</t>
  </si>
  <si>
    <t>FENG LIDONG</t>
  </si>
  <si>
    <t>370830197210171738</t>
  </si>
  <si>
    <t>济宁市汶上县南站镇后李尹村</t>
  </si>
  <si>
    <t>杨尊娥</t>
  </si>
  <si>
    <t>EJ8305753</t>
  </si>
  <si>
    <t>刘有胜</t>
  </si>
  <si>
    <t>LIU YOUSHENG</t>
  </si>
  <si>
    <t>14272319700910121X</t>
  </si>
  <si>
    <t>山西省</t>
  </si>
  <si>
    <t>芮城县风陵渡镇五一村</t>
  </si>
  <si>
    <t>杨淑云</t>
  </si>
  <si>
    <t>EC0773278</t>
  </si>
  <si>
    <t>陈之玉</t>
  </si>
  <si>
    <t>CHEN ZHIYU</t>
  </si>
  <si>
    <t>370830197210162292</t>
  </si>
  <si>
    <t>汶上县康驿镇大唐阳村中村街</t>
  </si>
  <si>
    <t>张学粉</t>
  </si>
  <si>
    <t>EK3277875</t>
  </si>
  <si>
    <t>刘进红</t>
  </si>
  <si>
    <t>LIU JINHONG</t>
  </si>
  <si>
    <t>410928197310030058</t>
  </si>
  <si>
    <t>濮阳县城关镇蔡砦村</t>
  </si>
  <si>
    <t>韦风雪</t>
  </si>
  <si>
    <t>EM4429278</t>
  </si>
  <si>
    <t>宗国强</t>
  </si>
  <si>
    <t>ZONG GOUQIANG</t>
  </si>
  <si>
    <t>410928198304181831</t>
  </si>
  <si>
    <t>濮阳县鲁河乡梁庄村</t>
  </si>
  <si>
    <t>汤翠玲</t>
  </si>
  <si>
    <t>EJ9065371</t>
  </si>
  <si>
    <t>齐春旺</t>
  </si>
  <si>
    <t>QI CHUNWANG</t>
  </si>
  <si>
    <t>371328198105096075</t>
  </si>
  <si>
    <t>蒙阴县岱崮镇丁家庄村</t>
  </si>
  <si>
    <t>王红</t>
  </si>
  <si>
    <t>EC0965733</t>
  </si>
  <si>
    <t>洪助军</t>
  </si>
  <si>
    <t>HONG ZHUJUN</t>
  </si>
  <si>
    <t>410922198101303132</t>
  </si>
  <si>
    <t>清丰县韩村乡高家村</t>
  </si>
  <si>
    <t>鲁玉敏</t>
  </si>
  <si>
    <t>EM8536593</t>
  </si>
  <si>
    <t>SUN HECHUN</t>
  </si>
  <si>
    <t>410901196802102367</t>
  </si>
  <si>
    <t>河南省濮阳市华龙区岳村乡</t>
  </si>
  <si>
    <t>EN7610758</t>
  </si>
  <si>
    <t>严家乾</t>
  </si>
  <si>
    <t>YAN JIAQIAN</t>
  </si>
  <si>
    <t>371327198710052217</t>
  </si>
  <si>
    <t>山东省莒南县莲子镇严家庄村</t>
  </si>
  <si>
    <t>巩在淼</t>
  </si>
  <si>
    <t>EJ6254938</t>
  </si>
  <si>
    <t>罗文亮</t>
  </si>
  <si>
    <t>LUO WENLIANG</t>
  </si>
  <si>
    <t>371122197608291513</t>
  </si>
  <si>
    <t>山东省日照市莒县陵阳镇大放鹤村</t>
  </si>
  <si>
    <t>刘廷霞</t>
  </si>
  <si>
    <t>EN7338338</t>
  </si>
  <si>
    <t>贾心国</t>
  </si>
  <si>
    <t>JIA XINGGUO</t>
  </si>
  <si>
    <t>410526197303104157</t>
  </si>
  <si>
    <t>河南省安阳市滑县桑村乡</t>
  </si>
  <si>
    <t>李红姣</t>
  </si>
  <si>
    <t>EP1021815</t>
  </si>
  <si>
    <t>姜同盛</t>
  </si>
  <si>
    <t>JIANG TONGSHEN</t>
  </si>
  <si>
    <t>370285197705045912</t>
  </si>
  <si>
    <t>山东省莱西市水集街道</t>
  </si>
  <si>
    <t>王守琴</t>
  </si>
  <si>
    <t>EM5077009</t>
  </si>
  <si>
    <t>李红军</t>
  </si>
  <si>
    <t>LI HONGJUN</t>
  </si>
  <si>
    <t>370983198510301832</t>
  </si>
  <si>
    <t>山东省泰安市肥城市湖屯镇</t>
  </si>
  <si>
    <t>田光英</t>
  </si>
  <si>
    <t>EM5062734</t>
  </si>
  <si>
    <t>马青利</t>
  </si>
  <si>
    <t>MA QINLI</t>
  </si>
  <si>
    <t>372832197302143413</t>
  </si>
  <si>
    <t>山东省临沂市沂南县</t>
  </si>
  <si>
    <t>胡素兰</t>
  </si>
  <si>
    <t>EF5528545</t>
  </si>
  <si>
    <t>泮正新</t>
  </si>
  <si>
    <t>PAN ZHENXING</t>
  </si>
  <si>
    <t>370983198302241353</t>
  </si>
  <si>
    <t>山东省泰安市肥城市王瓜店街道</t>
  </si>
  <si>
    <t>樊红红</t>
  </si>
  <si>
    <t>E95038088</t>
  </si>
  <si>
    <t>谭兴海</t>
  </si>
  <si>
    <t>TAN XINHAI</t>
  </si>
  <si>
    <t>370911197201047213</t>
  </si>
  <si>
    <t>山东省泰安市岱岳区天平街道</t>
  </si>
  <si>
    <t>赵玉香</t>
  </si>
  <si>
    <t>EM1997870</t>
  </si>
  <si>
    <t>王立光</t>
  </si>
  <si>
    <t>WANG LIGUANG</t>
  </si>
  <si>
    <t>370830197005153995</t>
  </si>
  <si>
    <t>山东省汶上县次丘镇枣杭村</t>
  </si>
  <si>
    <t>林桂香</t>
  </si>
  <si>
    <t>EJ5446714</t>
  </si>
  <si>
    <t>张吉亮</t>
  </si>
  <si>
    <t>ZHUANG JILIANG</t>
  </si>
  <si>
    <t>370830197002284073</t>
  </si>
  <si>
    <t>山东省汶上县次丘镇湖口村</t>
  </si>
  <si>
    <t>林秀芝</t>
  </si>
  <si>
    <t>EP2779848</t>
  </si>
  <si>
    <t>安英占</t>
  </si>
  <si>
    <t>AN YINGZHAN</t>
  </si>
  <si>
    <t>370982198108023399</t>
  </si>
  <si>
    <t>宫里镇安庄村，西大街280号</t>
  </si>
  <si>
    <t>万金香</t>
  </si>
  <si>
    <t>EP2762869</t>
  </si>
  <si>
    <t>黄金阁</t>
  </si>
  <si>
    <t>HUANG JINGE</t>
  </si>
  <si>
    <t>370831199012143934</t>
  </si>
  <si>
    <t>济宁市泗水县济河街道</t>
  </si>
  <si>
    <t>刘良娜</t>
  </si>
  <si>
    <t>EB3527261</t>
  </si>
  <si>
    <t>孟龙</t>
  </si>
  <si>
    <t>MENG LONG</t>
  </si>
  <si>
    <t>370921198210060011</t>
  </si>
  <si>
    <t>泰安市宁阳县南关社区</t>
  </si>
  <si>
    <t>孟祥池</t>
  </si>
  <si>
    <t>EL3216248</t>
  </si>
  <si>
    <t>谢志宏</t>
  </si>
  <si>
    <t>XIE ZHIHONG</t>
  </si>
  <si>
    <t>370921198201100034</t>
  </si>
  <si>
    <t>泰安市宁阳县八仙桥街道</t>
  </si>
  <si>
    <t>李晓蕾</t>
  </si>
  <si>
    <t>EL4192119</t>
  </si>
  <si>
    <t>宁尚坤</t>
  </si>
  <si>
    <t>Ning Shangkun</t>
  </si>
  <si>
    <t>370921199005125415</t>
  </si>
  <si>
    <t>宁阳县葛石镇夏庄村5区12号</t>
  </si>
  <si>
    <t>王慧</t>
  </si>
  <si>
    <t>EB3523555</t>
  </si>
  <si>
    <t>刘同栓</t>
  </si>
  <si>
    <t xml:space="preserve">LIU TONGSHUAN </t>
  </si>
  <si>
    <t>37098319790901139X</t>
  </si>
  <si>
    <t>13953858408</t>
  </si>
  <si>
    <t>孙金英</t>
  </si>
  <si>
    <t>EE3289550</t>
  </si>
  <si>
    <t>王庆喜</t>
  </si>
  <si>
    <t>WANG QINXI</t>
  </si>
  <si>
    <t>370983198012052810</t>
  </si>
  <si>
    <t>13285386210</t>
  </si>
  <si>
    <t>泰安市肥城市仪阳镇</t>
  </si>
  <si>
    <t>张凤云</t>
  </si>
  <si>
    <t>EK9032004</t>
  </si>
  <si>
    <t>曹光填</t>
  </si>
  <si>
    <t>CAO GUANGTIAN</t>
  </si>
  <si>
    <t>371425198802147611</t>
  </si>
  <si>
    <t>济南市历城区全服街道</t>
  </si>
  <si>
    <t>康秀晓</t>
  </si>
  <si>
    <t>EA2067027</t>
  </si>
  <si>
    <t>WANG YONG</t>
  </si>
  <si>
    <t>370922197010120595</t>
  </si>
  <si>
    <t>13953858180</t>
  </si>
  <si>
    <t>泰安市肥城市老城社区</t>
  </si>
  <si>
    <t>马新梅</t>
  </si>
  <si>
    <t>EM2044819</t>
  </si>
  <si>
    <t>电子签证</t>
  </si>
  <si>
    <t>孙西东</t>
  </si>
  <si>
    <t>SUN XIDONG</t>
  </si>
  <si>
    <t>370831196909245732</t>
  </si>
  <si>
    <t>13695478773</t>
  </si>
  <si>
    <t>汶上县汶上街道大刘庄村</t>
  </si>
  <si>
    <t>杨爱青</t>
  </si>
  <si>
    <t>EJ5446702</t>
  </si>
  <si>
    <t>谢秦</t>
  </si>
  <si>
    <t>XIE QING</t>
  </si>
  <si>
    <t>6105219850310761X</t>
  </si>
  <si>
    <t>18291329143</t>
  </si>
  <si>
    <t>渭南市临渭区下邽镇鱼家村王南组</t>
  </si>
  <si>
    <t>王晓晴</t>
  </si>
  <si>
    <t>EH5263746</t>
  </si>
  <si>
    <t>李国豪</t>
  </si>
  <si>
    <t>LI GUOHAO</t>
  </si>
  <si>
    <t>安全经理</t>
  </si>
  <si>
    <t>370781199807110771</t>
  </si>
  <si>
    <t>济南市市中区伟东新都二区北门</t>
  </si>
  <si>
    <t>李林海</t>
  </si>
  <si>
    <t>EJ5433386</t>
  </si>
  <si>
    <t>刘桂河</t>
  </si>
  <si>
    <t>LIU GUIHE</t>
  </si>
  <si>
    <t>370831197704160015</t>
  </si>
  <si>
    <t>济宁市泗水县金庄镇南玉沟村</t>
  </si>
  <si>
    <t>徐萍</t>
  </si>
  <si>
    <t>EQ0405725</t>
  </si>
  <si>
    <t>岳云亭</t>
  </si>
  <si>
    <t>YUE YUNTING</t>
  </si>
  <si>
    <t>370911197405036030</t>
  </si>
  <si>
    <t>泰安市泰山区财源街道青山小区</t>
  </si>
  <si>
    <t>邱平芳</t>
  </si>
  <si>
    <t>EE5495274</t>
  </si>
  <si>
    <t>安宪宁</t>
  </si>
  <si>
    <t>AN XIANNING</t>
  </si>
  <si>
    <t>质量经理</t>
  </si>
  <si>
    <t>371521199101233116</t>
  </si>
  <si>
    <t>济南历城区王舍人街道</t>
  </si>
  <si>
    <t>张敏</t>
  </si>
  <si>
    <t>E88181090</t>
  </si>
  <si>
    <t>孙棋</t>
  </si>
  <si>
    <t>SUN QI</t>
  </si>
  <si>
    <t>土建工程师</t>
  </si>
  <si>
    <t>370102200212145331</t>
  </si>
  <si>
    <t>15966302120</t>
  </si>
  <si>
    <t>济南市历城区保利海德公馆</t>
  </si>
  <si>
    <t>孙绪贵</t>
  </si>
  <si>
    <t>EK2264331</t>
  </si>
  <si>
    <t>孔哲</t>
  </si>
  <si>
    <t>Kong Zhe</t>
  </si>
  <si>
    <t>建筑工程师</t>
  </si>
  <si>
    <t>411423198803215575</t>
  </si>
  <si>
    <t>郑州市</t>
  </si>
  <si>
    <t>郑州市新郑市龙湖镇龙湖锦艺城</t>
  </si>
  <si>
    <t>宋凤丽</t>
  </si>
  <si>
    <t>EJ2257568</t>
  </si>
  <si>
    <t>赵庆平</t>
  </si>
  <si>
    <t>Zhao Qingping</t>
  </si>
  <si>
    <t>370830196904053950</t>
  </si>
  <si>
    <t>王秀云</t>
  </si>
  <si>
    <t>EB8788362</t>
  </si>
  <si>
    <t>原始邀请函号</t>
  </si>
  <si>
    <t>张占军</t>
  </si>
  <si>
    <t>ZHANG ZHANJUN</t>
  </si>
  <si>
    <t>文控</t>
  </si>
  <si>
    <t>马吉农</t>
  </si>
  <si>
    <t>33KV 架空线路项目</t>
  </si>
  <si>
    <t>130423198507293351</t>
  </si>
  <si>
    <t>07877968633</t>
  </si>
  <si>
    <t>四川</t>
  </si>
  <si>
    <t>四川省眉山市洪雅县恒和国际小区9栋1单元</t>
  </si>
  <si>
    <t>EH7377941</t>
  </si>
  <si>
    <t>1</t>
  </si>
  <si>
    <t>赵嘉瑞</t>
  </si>
  <si>
    <t>Jiarui.Zhao</t>
  </si>
  <si>
    <t>玛吉努油田</t>
  </si>
  <si>
    <t>技术部</t>
  </si>
  <si>
    <t>411202200108140011</t>
  </si>
  <si>
    <t>2001.08.14</t>
  </si>
  <si>
    <t>山东</t>
  </si>
  <si>
    <t>东营</t>
  </si>
  <si>
    <t>东营区</t>
  </si>
  <si>
    <t>山东省东营市东营区海信盈城</t>
  </si>
  <si>
    <t>赵辉</t>
  </si>
  <si>
    <t>EG4846994</t>
  </si>
  <si>
    <t>2025.11.23</t>
  </si>
  <si>
    <t>2</t>
  </si>
  <si>
    <t>张川利</t>
  </si>
  <si>
    <t>zhang chuanli</t>
  </si>
  <si>
    <t>总经理</t>
  </si>
  <si>
    <t>文汇街道</t>
  </si>
  <si>
    <t>袁新平</t>
  </si>
  <si>
    <t>EN7311781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</si>
</sst>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4809]yyyy\-mm\-dd;@"/>
    <numFmt numFmtId="177" formatCode="[$-409]d\-mmm\-yyyy;@"/>
    <numFmt numFmtId="178" formatCode="yyyy&quot;年&quot;m&quot;月&quot;d&quot;日&quot;;@"/>
    <numFmt numFmtId="179" formatCode="[$-F800]dddd\,\ mmmm\ dd\,\ yyyy"/>
    <numFmt numFmtId="180" formatCode="0_);[Red]\(0\)"/>
    <numFmt numFmtId="181" formatCode="yyyy/m/d;@"/>
    <numFmt numFmtId="182" formatCode="yyyy\-mm\-dd;@"/>
    <numFmt numFmtId="183" formatCode="0_ ;[Red]\-0\ "/>
    <numFmt numFmtId="184" formatCode="0_ "/>
    <numFmt numFmtId="185" formatCode="0_);\(0\)"/>
  </numFmts>
  <fonts count="53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name val="宋体"/>
      <charset val="134"/>
    </font>
    <font>
      <sz val="11"/>
      <name val="Microsoft YaHei UI"/>
      <charset val="134"/>
    </font>
    <font>
      <b/>
      <sz val="11"/>
      <color indexed="8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</font>
    <font>
      <sz val="10"/>
      <color rgb="FF000000"/>
      <name val="Microsoft YaHei"/>
      <charset val="134"/>
    </font>
    <font>
      <sz val="14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rgb="FF000000"/>
      <name val="Microsoft YaHei"/>
      <charset val="134"/>
    </font>
    <font>
      <b/>
      <sz val="9"/>
      <color rgb="FF000000"/>
      <name val="Microsoft YaHei"/>
      <charset val="134"/>
    </font>
    <font>
      <sz val="10"/>
      <color rgb="FF000000"/>
      <name val="微软雅黑"/>
      <charset val="134"/>
    </font>
    <font>
      <sz val="9"/>
      <color rgb="FF000000"/>
      <name val="Microsoft YaHei"/>
      <charset val="134"/>
    </font>
    <font>
      <sz val="11"/>
      <color rgb="FF000000"/>
      <name val="Microsoft YaHei UI"/>
      <charset val="134"/>
    </font>
    <font>
      <sz val="11"/>
      <color rgb="FF000000"/>
      <name val="等线"/>
      <charset val="134"/>
    </font>
    <font>
      <sz val="10"/>
      <color rgb="FF000000"/>
      <name val="Microsoft YaHei UI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</font>
    <font>
      <sz val="12"/>
      <name val="宋体"/>
      <charset val="134"/>
      <scheme val="minor"/>
    </font>
    <font>
      <sz val="11"/>
      <name val="Times New Roman"/>
      <charset val="134"/>
    </font>
    <font>
      <sz val="10"/>
      <name val="宋体"/>
      <charset val="134"/>
      <scheme val="minor"/>
    </font>
    <font>
      <sz val="10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Helv"/>
      <charset val="134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0" fillId="6" borderId="21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22">
      <alignment vertical="center"/>
    </xf>
    <xf numFmtId="0" fontId="37" fillId="0" borderId="22">
      <alignment vertical="center"/>
    </xf>
    <xf numFmtId="0" fontId="38" fillId="0" borderId="23">
      <alignment vertical="center"/>
    </xf>
    <xf numFmtId="0" fontId="38" fillId="0" borderId="0">
      <alignment vertical="center"/>
    </xf>
    <xf numFmtId="0" fontId="39" fillId="7" borderId="24">
      <alignment vertical="center"/>
    </xf>
    <xf numFmtId="0" fontId="40" fillId="8" borderId="25">
      <alignment vertical="center"/>
    </xf>
    <xf numFmtId="0" fontId="41" fillId="8" borderId="24">
      <alignment vertical="center"/>
    </xf>
    <xf numFmtId="0" fontId="42" fillId="9" borderId="26">
      <alignment vertical="center"/>
    </xf>
    <xf numFmtId="0" fontId="43" fillId="0" borderId="27">
      <alignment vertical="center"/>
    </xf>
    <xf numFmtId="0" fontId="44" fillId="0" borderId="28">
      <alignment vertical="center"/>
    </xf>
    <xf numFmtId="0" fontId="45" fillId="10" borderId="0">
      <alignment vertical="center"/>
    </xf>
    <xf numFmtId="0" fontId="46" fillId="11" borderId="0">
      <alignment vertical="center"/>
    </xf>
    <xf numFmtId="0" fontId="47" fillId="12" borderId="0">
      <alignment vertical="center"/>
    </xf>
    <xf numFmtId="0" fontId="48" fillId="13" borderId="0">
      <alignment vertical="center"/>
    </xf>
    <xf numFmtId="0" fontId="49" fillId="14" borderId="0">
      <alignment vertical="center"/>
    </xf>
    <xf numFmtId="0" fontId="49" fillId="15" borderId="0">
      <alignment vertical="center"/>
    </xf>
    <xf numFmtId="0" fontId="48" fillId="16" borderId="0">
      <alignment vertical="center"/>
    </xf>
    <xf numFmtId="0" fontId="48" fillId="17" borderId="0">
      <alignment vertical="center"/>
    </xf>
    <xf numFmtId="0" fontId="49" fillId="18" borderId="0">
      <alignment vertical="center"/>
    </xf>
    <xf numFmtId="0" fontId="49" fillId="19" borderId="0">
      <alignment vertical="center"/>
    </xf>
    <xf numFmtId="0" fontId="48" fillId="20" borderId="0">
      <alignment vertical="center"/>
    </xf>
    <xf numFmtId="0" fontId="48" fillId="21" borderId="0">
      <alignment vertical="center"/>
    </xf>
    <xf numFmtId="0" fontId="49" fillId="22" borderId="0">
      <alignment vertical="center"/>
    </xf>
    <xf numFmtId="0" fontId="49" fillId="23" borderId="0">
      <alignment vertical="center"/>
    </xf>
    <xf numFmtId="0" fontId="48" fillId="24" borderId="0">
      <alignment vertical="center"/>
    </xf>
    <xf numFmtId="0" fontId="48" fillId="5" borderId="0">
      <alignment vertical="center"/>
    </xf>
    <xf numFmtId="0" fontId="49" fillId="25" borderId="0">
      <alignment vertical="center"/>
    </xf>
    <xf numFmtId="0" fontId="49" fillId="26" borderId="0">
      <alignment vertical="center"/>
    </xf>
    <xf numFmtId="0" fontId="48" fillId="27" borderId="0">
      <alignment vertical="center"/>
    </xf>
    <xf numFmtId="0" fontId="48" fillId="28" borderId="0">
      <alignment vertical="center"/>
    </xf>
    <xf numFmtId="0" fontId="49" fillId="29" borderId="0">
      <alignment vertical="center"/>
    </xf>
    <xf numFmtId="0" fontId="49" fillId="30" borderId="0">
      <alignment vertical="center"/>
    </xf>
    <xf numFmtId="0" fontId="48" fillId="31" borderId="0">
      <alignment vertical="center"/>
    </xf>
    <xf numFmtId="0" fontId="48" fillId="32" borderId="0">
      <alignment vertical="center"/>
    </xf>
    <xf numFmtId="0" fontId="49" fillId="33" borderId="0">
      <alignment vertical="center"/>
    </xf>
    <xf numFmtId="0" fontId="49" fillId="34" borderId="0">
      <alignment vertical="center"/>
    </xf>
    <xf numFmtId="0" fontId="48" fillId="35" borderId="0">
      <alignment vertical="center"/>
    </xf>
    <xf numFmtId="0" fontId="50" fillId="0" borderId="0"/>
    <xf numFmtId="0" fontId="51" fillId="0" borderId="0"/>
    <xf numFmtId="176" fontId="52" fillId="0" borderId="0">
      <alignment vertical="center"/>
    </xf>
  </cellStyleXfs>
  <cellXfs count="150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8" fontId="3" fillId="0" borderId="5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 wrapText="1"/>
    </xf>
    <xf numFmtId="178" fontId="3" fillId="0" borderId="6" xfId="0" applyNumberFormat="1" applyFont="1" applyFill="1" applyBorder="1" applyAlignment="1">
      <alignment horizontal="center" vertical="center" wrapText="1"/>
    </xf>
    <xf numFmtId="0" fontId="3" fillId="0" borderId="7" xfId="49" applyFont="1" applyFill="1" applyBorder="1" applyAlignment="1">
      <alignment horizontal="center" vertical="center" wrapText="1"/>
    </xf>
    <xf numFmtId="0" fontId="3" fillId="0" borderId="8" xfId="49" applyFont="1" applyFill="1" applyBorder="1" applyAlignment="1">
      <alignment horizontal="center" vertical="center" wrapText="1"/>
    </xf>
    <xf numFmtId="0" fontId="3" fillId="0" borderId="9" xfId="49" applyFont="1" applyFill="1" applyBorder="1" applyAlignment="1">
      <alignment horizontal="center" vertical="center" wrapText="1"/>
    </xf>
    <xf numFmtId="179" fontId="3" fillId="0" borderId="9" xfId="49" applyNumberFormat="1" applyFont="1" applyFill="1" applyBorder="1" applyAlignment="1">
      <alignment horizontal="center" vertical="center" wrapText="1"/>
    </xf>
    <xf numFmtId="0" fontId="3" fillId="0" borderId="10" xfId="49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0" fontId="3" fillId="0" borderId="11" xfId="49" applyFont="1" applyFill="1" applyBorder="1" applyAlignment="1">
      <alignment horizontal="center" vertical="center" wrapText="1"/>
    </xf>
    <xf numFmtId="178" fontId="3" fillId="0" borderId="9" xfId="49" applyNumberFormat="1" applyFont="1" applyFill="1" applyBorder="1" applyAlignment="1">
      <alignment horizontal="center" vertical="center" wrapText="1"/>
    </xf>
    <xf numFmtId="0" fontId="3" fillId="0" borderId="12" xfId="49" applyFont="1" applyFill="1" applyBorder="1" applyAlignment="1">
      <alignment horizontal="center" vertical="center" wrapText="1"/>
    </xf>
    <xf numFmtId="180" fontId="3" fillId="0" borderId="13" xfId="49" applyNumberFormat="1" applyFont="1" applyFill="1" applyBorder="1" applyAlignment="1">
      <alignment horizontal="center" vertical="center" wrapText="1"/>
    </xf>
    <xf numFmtId="178" fontId="3" fillId="0" borderId="13" xfId="49" applyNumberFormat="1" applyFont="1" applyFill="1" applyBorder="1" applyAlignment="1">
      <alignment horizontal="center" vertical="center" wrapText="1"/>
    </xf>
    <xf numFmtId="0" fontId="3" fillId="0" borderId="14" xfId="4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 wrapText="1"/>
    </xf>
    <xf numFmtId="180" fontId="4" fillId="0" borderId="17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 wrapText="1"/>
    </xf>
    <xf numFmtId="183" fontId="2" fillId="0" borderId="1" xfId="0" applyNumberFormat="1" applyFont="1" applyFill="1" applyBorder="1" applyAlignment="1">
      <alignment horizontal="center" vertical="center"/>
    </xf>
    <xf numFmtId="0" fontId="4" fillId="0" borderId="18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7" fontId="4" fillId="0" borderId="16" xfId="5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center" vertical="center" wrapText="1"/>
    </xf>
    <xf numFmtId="0" fontId="4" fillId="0" borderId="19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80" fontId="4" fillId="0" borderId="15" xfId="0" applyNumberFormat="1" applyFont="1" applyFill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>
      <alignment horizontal="center" vertical="center" wrapText="1"/>
    </xf>
    <xf numFmtId="178" fontId="8" fillId="0" borderId="2" xfId="0" applyNumberFormat="1" applyFont="1" applyFill="1" applyBorder="1" applyAlignment="1">
      <alignment horizontal="center" vertical="center" wrapText="1"/>
    </xf>
    <xf numFmtId="178" fontId="8" fillId="0" borderId="6" xfId="0" applyNumberFormat="1" applyFont="1" applyFill="1" applyBorder="1" applyAlignment="1">
      <alignment horizontal="center" vertical="center" wrapText="1"/>
    </xf>
    <xf numFmtId="0" fontId="7" fillId="0" borderId="7" xfId="49" applyFont="1" applyBorder="1" applyAlignment="1">
      <alignment horizontal="center" vertical="center" wrapText="1"/>
    </xf>
    <xf numFmtId="0" fontId="7" fillId="0" borderId="8" xfId="49" applyFont="1" applyBorder="1" applyAlignment="1">
      <alignment horizontal="center" vertical="center" wrapText="1"/>
    </xf>
    <xf numFmtId="0" fontId="7" fillId="0" borderId="9" xfId="49" applyFont="1" applyFill="1" applyBorder="1" applyAlignment="1">
      <alignment horizontal="center" vertical="center" wrapText="1"/>
    </xf>
    <xf numFmtId="0" fontId="7" fillId="0" borderId="9" xfId="49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179" fontId="7" fillId="0" borderId="9" xfId="49" applyNumberFormat="1" applyFont="1" applyBorder="1" applyAlignment="1">
      <alignment horizontal="center" vertical="center" wrapText="1"/>
    </xf>
    <xf numFmtId="0" fontId="7" fillId="0" borderId="10" xfId="49" applyFont="1" applyBorder="1" applyAlignment="1">
      <alignment horizontal="center" vertical="center" wrapText="1"/>
    </xf>
    <xf numFmtId="49" fontId="7" fillId="0" borderId="1" xfId="49" applyNumberFormat="1" applyFont="1" applyBorder="1" applyAlignment="1">
      <alignment horizontal="center" vertical="center" wrapText="1"/>
    </xf>
    <xf numFmtId="0" fontId="7" fillId="0" borderId="11" xfId="49" applyFont="1" applyBorder="1" applyAlignment="1">
      <alignment horizontal="center" vertical="center" wrapText="1"/>
    </xf>
    <xf numFmtId="178" fontId="7" fillId="0" borderId="9" xfId="49" applyNumberFormat="1" applyFont="1" applyBorder="1" applyAlignment="1">
      <alignment horizontal="center" vertical="center" wrapText="1"/>
    </xf>
    <xf numFmtId="0" fontId="7" fillId="0" borderId="12" xfId="49" applyFont="1" applyBorder="1" applyAlignment="1">
      <alignment horizontal="center" vertical="center" wrapText="1"/>
    </xf>
    <xf numFmtId="178" fontId="7" fillId="0" borderId="13" xfId="49" applyNumberFormat="1" applyFont="1" applyBorder="1" applyAlignment="1">
      <alignment horizontal="center" vertical="center" wrapText="1"/>
    </xf>
    <xf numFmtId="0" fontId="7" fillId="0" borderId="14" xfId="49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80" fontId="10" fillId="3" borderId="1" xfId="0" applyNumberFormat="1" applyFont="1" applyFill="1" applyBorder="1" applyAlignment="1">
      <alignment horizontal="center" vertical="center" wrapText="1"/>
    </xf>
    <xf numFmtId="180" fontId="12" fillId="0" borderId="1" xfId="0" applyNumberFormat="1" applyFont="1" applyFill="1" applyBorder="1" applyAlignment="1">
      <alignment horizontal="center" vertical="center" wrapText="1"/>
    </xf>
    <xf numFmtId="180" fontId="12" fillId="0" borderId="17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180" fontId="10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 wrapText="1"/>
    </xf>
    <xf numFmtId="180" fontId="10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5" fillId="0" borderId="1" xfId="0" applyFont="1" applyFill="1" applyBorder="1" applyAlignment="1">
      <alignment vertical="center"/>
    </xf>
    <xf numFmtId="0" fontId="16" fillId="0" borderId="1" xfId="0" applyFont="1" applyFill="1" applyBorder="1">
      <alignment vertical="center"/>
    </xf>
    <xf numFmtId="0" fontId="17" fillId="0" borderId="1" xfId="0" applyFont="1" applyBorder="1">
      <alignment vertical="center"/>
    </xf>
    <xf numFmtId="0" fontId="9" fillId="0" borderId="1" xfId="49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0" fontId="18" fillId="0" borderId="1" xfId="49" applyFont="1" applyFill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179" fontId="19" fillId="0" borderId="1" xfId="49" applyNumberFormat="1" applyFont="1" applyBorder="1" applyAlignment="1">
      <alignment horizontal="center" vertical="center" wrapText="1"/>
    </xf>
    <xf numFmtId="178" fontId="9" fillId="0" borderId="1" xfId="49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184" fontId="12" fillId="0" borderId="1" xfId="0" applyNumberFormat="1" applyFont="1" applyFill="1" applyBorder="1" applyAlignment="1">
      <alignment horizontal="center" vertical="center" wrapText="1"/>
    </xf>
    <xf numFmtId="180" fontId="12" fillId="4" borderId="1" xfId="0" applyNumberFormat="1" applyFont="1" applyFill="1" applyBorder="1" applyAlignment="1">
      <alignment horizontal="center" vertical="center" wrapText="1"/>
    </xf>
    <xf numFmtId="180" fontId="22" fillId="4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182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0" fontId="24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14" fillId="0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49" fontId="2" fillId="0" borderId="0" xfId="0" applyNumberFormat="1" applyFont="1" applyFill="1" applyBorder="1">
      <alignment vertical="center"/>
    </xf>
    <xf numFmtId="178" fontId="2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85" fontId="4" fillId="0" borderId="1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18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78" fontId="4" fillId="0" borderId="7" xfId="0" applyNumberFormat="1" applyFont="1" applyFill="1" applyBorder="1" applyAlignment="1">
      <alignment horizontal="center" vertical="center" wrapText="1"/>
    </xf>
    <xf numFmtId="177" fontId="27" fillId="0" borderId="1" xfId="0" applyNumberFormat="1" applyFont="1" applyFill="1" applyBorder="1" applyAlignment="1">
      <alignment horizontal="center" vertical="center"/>
    </xf>
    <xf numFmtId="176" fontId="28" fillId="0" borderId="1" xfId="51" applyFont="1" applyFill="1" applyBorder="1" applyAlignment="1">
      <alignment horizontal="center" vertical="center" wrapText="1"/>
    </xf>
    <xf numFmtId="0" fontId="28" fillId="0" borderId="1" xfId="51" applyNumberFormat="1" applyFont="1" applyFill="1" applyBorder="1" applyAlignment="1">
      <alignment horizontal="center" vertical="center" wrapText="1"/>
    </xf>
    <xf numFmtId="177" fontId="29" fillId="0" borderId="1" xfId="0" applyNumberFormat="1" applyFont="1" applyFill="1" applyBorder="1" applyAlignment="1">
      <alignment horizontal="center" vertical="center"/>
    </xf>
    <xf numFmtId="177" fontId="29" fillId="0" borderId="1" xfId="0" applyNumberFormat="1" applyFont="1" applyFill="1" applyBorder="1" applyAlignment="1">
      <alignment vertical="center"/>
    </xf>
    <xf numFmtId="177" fontId="30" fillId="0" borderId="1" xfId="0" applyNumberFormat="1" applyFont="1" applyFill="1" applyBorder="1" applyAlignment="1">
      <alignment horizontal="center" vertical="center"/>
    </xf>
    <xf numFmtId="177" fontId="29" fillId="0" borderId="1" xfId="0" applyNumberFormat="1" applyFont="1" applyFill="1" applyBorder="1" applyAlignment="1">
      <alignment horizontal="center" vertical="center" wrapText="1"/>
    </xf>
    <xf numFmtId="0" fontId="4" fillId="0" borderId="16" xfId="50" applyFont="1" applyFill="1" applyBorder="1" applyAlignment="1">
      <alignment horizontal="center" vertical="center" wrapText="1"/>
    </xf>
    <xf numFmtId="0" fontId="4" fillId="0" borderId="20" xfId="50" applyFont="1" applyFill="1" applyBorder="1" applyAlignment="1">
      <alignment horizontal="center" vertical="center" wrapText="1"/>
    </xf>
    <xf numFmtId="0" fontId="4" fillId="0" borderId="20" xfId="5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30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180" fontId="30" fillId="0" borderId="1" xfId="0" applyNumberFormat="1" applyFont="1" applyFill="1" applyBorder="1" applyAlignment="1">
      <alignment horizontal="center" vertical="center" wrapText="1"/>
    </xf>
    <xf numFmtId="177" fontId="30" fillId="0" borderId="1" xfId="0" applyNumberFormat="1" applyFont="1" applyFill="1" applyBorder="1" applyAlignment="1">
      <alignment horizontal="center" vertical="center" wrapText="1"/>
    </xf>
    <xf numFmtId="178" fontId="4" fillId="0" borderId="1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184" fontId="12" fillId="0" borderId="1" xfId="0" applyNumberFormat="1" applyFont="1" applyFill="1" applyBorder="1" applyAlignment="1" quotePrefix="1">
      <alignment horizontal="center" vertical="center" wrapText="1"/>
    </xf>
    <xf numFmtId="49" fontId="12" fillId="0" borderId="1" xfId="0" applyNumberFormat="1" applyFont="1" applyFill="1" applyBorder="1" applyAlignment="1" quotePrefix="1">
      <alignment horizontal="center" vertical="center" wrapText="1"/>
    </xf>
    <xf numFmtId="49" fontId="10" fillId="0" borderId="1" xfId="0" applyNumberFormat="1" applyFont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Normal 3 3" xfId="50"/>
    <cellStyle name="常规 11" xfId="5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eChat%20Files\wxid_6gwnb52jozcy22\FileStorage\File\2025-04\&#26368;&#26032;&#20154;&#21592;&#20449;&#24687;2024.11&#26376;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68;&#26032;&#20154;&#21592;&#20449;&#24687;2025.12.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人员信息"/>
      <sheetName val="马吉农项目部"/>
      <sheetName val="江都最新"/>
      <sheetName val="CSI 、江都、建工回国"/>
      <sheetName val="山东建工"/>
      <sheetName val="33KV"/>
      <sheetName val="回国核心人员"/>
      <sheetName val="签证临期人员"/>
      <sheetName val="Sheet2"/>
      <sheetName val="安审"/>
      <sheetName val="休假意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人员信息"/>
      <sheetName val="马吉农项目部"/>
      <sheetName val="江都最新"/>
      <sheetName val="CSI 、江都、建工回国"/>
      <sheetName val="山东建工"/>
      <sheetName val="33KV"/>
      <sheetName val="科林"/>
      <sheetName val="回国核心人员"/>
      <sheetName val="验血"/>
      <sheetName val="安审"/>
      <sheetName val="国际雇员"/>
      <sheetName val="Sheet1"/>
      <sheetName val="休假意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9%BB%84%E5%86%88%E5%B8%82/1457985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5"/>
  <sheetViews>
    <sheetView workbookViewId="0">
      <selection activeCell="D16" sqref="D16"/>
    </sheetView>
  </sheetViews>
  <sheetFormatPr defaultColWidth="9" defaultRowHeight="14.4"/>
  <cols>
    <col min="1" max="1" width="8" style="119" customWidth="1"/>
    <col min="2" max="2" width="8.62962962962963" style="119" customWidth="1"/>
    <col min="3" max="3" width="15.3333333333333" style="120" customWidth="1"/>
    <col min="4" max="4" width="17.1296296296296" style="120" customWidth="1"/>
    <col min="5" max="5" width="15.287037037037" style="120" customWidth="1"/>
    <col min="6" max="6" width="9.58333333333333" style="120" customWidth="1"/>
    <col min="7" max="7" width="16.6296296296296" style="120" customWidth="1"/>
    <col min="8" max="8" width="8.33333333333333" style="120" customWidth="1"/>
    <col min="9" max="9" width="29" style="120" customWidth="1"/>
    <col min="10" max="10" width="15" style="120" customWidth="1"/>
    <col min="11" max="11" width="23.4351851851852" style="121" customWidth="1"/>
    <col min="12" max="12" width="13" style="120" customWidth="1"/>
    <col min="13" max="13" width="16" style="120" customWidth="1"/>
    <col min="14" max="14" width="22" style="120" customWidth="1"/>
    <col min="15" max="15" width="11.6296296296296" style="120" customWidth="1"/>
    <col min="16" max="16" width="13.3796296296296" style="120" customWidth="1"/>
    <col min="17" max="17" width="57.4166666666667" style="120" customWidth="1"/>
    <col min="18" max="18" width="12.3796296296296" style="120" customWidth="1"/>
    <col min="19" max="19" width="16.5555555555556" style="120" customWidth="1"/>
    <col min="20" max="20" width="14.1203703703704" style="120" customWidth="1"/>
    <col min="21" max="21" width="18" style="122" customWidth="1"/>
    <col min="22" max="22" width="17.75" style="120" customWidth="1"/>
    <col min="23" max="23" width="14.3796296296296" style="122" customWidth="1"/>
    <col min="24" max="24" width="17.75" style="122" customWidth="1"/>
    <col min="25" max="25" width="12.3796296296296" style="123" customWidth="1"/>
    <col min="26" max="16384" width="9" style="2"/>
  </cols>
  <sheetData>
    <row r="1" ht="16.2" spans="1: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 t="s">
        <v>1</v>
      </c>
      <c r="L1" s="7"/>
      <c r="M1" s="7"/>
      <c r="N1" s="7"/>
      <c r="O1" s="7"/>
      <c r="P1" s="7"/>
      <c r="Q1" s="7"/>
      <c r="R1" s="7"/>
      <c r="S1" s="7"/>
      <c r="T1" s="8" t="s">
        <v>2</v>
      </c>
      <c r="U1" s="8"/>
      <c r="V1" s="8"/>
      <c r="W1" s="10" t="s">
        <v>3</v>
      </c>
      <c r="X1" s="11"/>
      <c r="Y1" s="12"/>
    </row>
    <row r="2" ht="33.15" spans="1:25">
      <c r="A2" s="13"/>
      <c r="B2" s="14" t="s">
        <v>4</v>
      </c>
      <c r="C2" s="15" t="s">
        <v>5</v>
      </c>
      <c r="D2" s="15" t="s">
        <v>6</v>
      </c>
      <c r="E2" s="15" t="s">
        <v>7</v>
      </c>
      <c r="F2" s="16" t="s">
        <v>8</v>
      </c>
      <c r="G2" s="16" t="s">
        <v>9</v>
      </c>
      <c r="H2" s="15" t="s">
        <v>10</v>
      </c>
      <c r="I2" s="15" t="s">
        <v>11</v>
      </c>
      <c r="J2" s="17" t="s">
        <v>12</v>
      </c>
      <c r="K2" s="18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15</v>
      </c>
      <c r="T2" s="19" t="s">
        <v>21</v>
      </c>
      <c r="U2" s="20" t="s">
        <v>22</v>
      </c>
      <c r="V2" s="21" t="s">
        <v>23</v>
      </c>
      <c r="W2" s="23" t="s">
        <v>24</v>
      </c>
      <c r="X2" s="15" t="s">
        <v>25</v>
      </c>
      <c r="Y2" s="24" t="s">
        <v>26</v>
      </c>
    </row>
    <row r="3" ht="15" spans="1:25">
      <c r="A3" s="36">
        <f t="shared" ref="A3:A14" si="0">ROW()-2</f>
        <v>1</v>
      </c>
      <c r="B3" s="36">
        <f t="shared" ref="B3:B14" si="1">ROW()-2</f>
        <v>1</v>
      </c>
      <c r="C3" s="124" t="s">
        <v>27</v>
      </c>
      <c r="D3" s="124" t="s">
        <v>28</v>
      </c>
      <c r="E3" s="124">
        <v>64997</v>
      </c>
      <c r="F3" s="124" t="s">
        <v>29</v>
      </c>
      <c r="G3" s="124" t="s">
        <v>30</v>
      </c>
      <c r="H3" s="28">
        <f ca="1" t="shared" ref="H3:H14" si="2">DATEDIF(TEXT(MID(K3,7,8),"0-00-00"),TODAY(),"y")</f>
        <v>32</v>
      </c>
      <c r="I3" s="28" t="s">
        <v>31</v>
      </c>
      <c r="J3" s="28" t="s">
        <v>32</v>
      </c>
      <c r="K3" s="30" t="s">
        <v>33</v>
      </c>
      <c r="L3" s="28" t="str">
        <f t="shared" ref="L3:L14" si="3">MID(K3,7,8)</f>
        <v>19930721</v>
      </c>
      <c r="M3" s="124">
        <v>18380948802</v>
      </c>
      <c r="N3" s="124" t="s">
        <v>34</v>
      </c>
      <c r="O3" s="28" t="s">
        <v>35</v>
      </c>
      <c r="P3" s="124" t="s">
        <v>36</v>
      </c>
      <c r="Q3" s="124" t="s">
        <v>37</v>
      </c>
      <c r="R3" s="124" t="s">
        <v>38</v>
      </c>
      <c r="S3" s="124">
        <v>18380948802</v>
      </c>
      <c r="T3" s="124" t="s">
        <v>39</v>
      </c>
      <c r="U3" s="42">
        <v>47506</v>
      </c>
      <c r="V3" s="125">
        <f ca="1" t="shared" ref="V3:V14" si="4">U3-TODAY()</f>
        <v>1416</v>
      </c>
      <c r="W3" s="34">
        <v>45958</v>
      </c>
      <c r="X3" s="34">
        <v>45959</v>
      </c>
      <c r="Y3" s="28">
        <f ca="1" t="shared" ref="Y3:Y14" si="5">TODAY()-X3</f>
        <v>131</v>
      </c>
    </row>
    <row r="4" ht="15" spans="1:25">
      <c r="A4" s="36">
        <f t="shared" si="0"/>
        <v>2</v>
      </c>
      <c r="B4" s="36">
        <f t="shared" si="1"/>
        <v>2</v>
      </c>
      <c r="C4" s="25" t="s">
        <v>40</v>
      </c>
      <c r="D4" s="27" t="s">
        <v>41</v>
      </c>
      <c r="E4" s="126">
        <v>47496</v>
      </c>
      <c r="F4" s="25" t="s">
        <v>42</v>
      </c>
      <c r="G4" s="25" t="s">
        <v>30</v>
      </c>
      <c r="H4" s="28">
        <f ca="1" t="shared" si="2"/>
        <v>47</v>
      </c>
      <c r="I4" s="28" t="s">
        <v>31</v>
      </c>
      <c r="J4" s="29" t="s">
        <v>32</v>
      </c>
      <c r="K4" s="30" t="s">
        <v>43</v>
      </c>
      <c r="L4" s="28" t="str">
        <f t="shared" si="3"/>
        <v>19780502</v>
      </c>
      <c r="M4" s="25">
        <v>17864928216</v>
      </c>
      <c r="N4" s="25" t="s">
        <v>44</v>
      </c>
      <c r="O4" s="28" t="s">
        <v>45</v>
      </c>
      <c r="P4" s="25" t="s">
        <v>46</v>
      </c>
      <c r="Q4" s="25" t="s">
        <v>47</v>
      </c>
      <c r="R4" s="25" t="s">
        <v>48</v>
      </c>
      <c r="S4" s="25">
        <v>13082736619</v>
      </c>
      <c r="T4" s="31" t="s">
        <v>49</v>
      </c>
      <c r="U4" s="42">
        <v>47049</v>
      </c>
      <c r="V4" s="33">
        <f ca="1" t="shared" si="4"/>
        <v>959</v>
      </c>
      <c r="W4" s="34">
        <v>46048</v>
      </c>
      <c r="X4" s="34">
        <v>46048</v>
      </c>
      <c r="Y4" s="127">
        <f ca="1" t="shared" si="5"/>
        <v>42</v>
      </c>
    </row>
    <row r="5" ht="15" spans="1:25">
      <c r="A5" s="36">
        <f t="shared" si="0"/>
        <v>3</v>
      </c>
      <c r="B5" s="36">
        <f t="shared" si="1"/>
        <v>3</v>
      </c>
      <c r="C5" s="25" t="s">
        <v>50</v>
      </c>
      <c r="D5" s="27" t="s">
        <v>51</v>
      </c>
      <c r="E5" s="25">
        <v>50593</v>
      </c>
      <c r="F5" s="128" t="s">
        <v>29</v>
      </c>
      <c r="G5" s="25" t="s">
        <v>30</v>
      </c>
      <c r="H5" s="28">
        <f ca="1" t="shared" si="2"/>
        <v>29</v>
      </c>
      <c r="I5" s="28" t="s">
        <v>31</v>
      </c>
      <c r="J5" s="29" t="s">
        <v>32</v>
      </c>
      <c r="K5" s="129" t="s">
        <v>52</v>
      </c>
      <c r="L5" s="28" t="str">
        <f t="shared" si="3"/>
        <v>19961215</v>
      </c>
      <c r="M5" s="128">
        <v>15069180957</v>
      </c>
      <c r="N5" s="128" t="s">
        <v>44</v>
      </c>
      <c r="O5" s="130"/>
      <c r="P5" s="128"/>
      <c r="Q5" s="128" t="s">
        <v>53</v>
      </c>
      <c r="R5" s="128" t="s">
        <v>54</v>
      </c>
      <c r="S5" s="128">
        <v>13047489592</v>
      </c>
      <c r="T5" s="131" t="s">
        <v>55</v>
      </c>
      <c r="U5" s="132">
        <v>47276</v>
      </c>
      <c r="V5" s="33">
        <f ca="1" t="shared" si="4"/>
        <v>1186</v>
      </c>
      <c r="W5" s="34">
        <v>45781</v>
      </c>
      <c r="X5" s="34">
        <v>45782</v>
      </c>
      <c r="Y5" s="127">
        <f ca="1" t="shared" si="5"/>
        <v>308</v>
      </c>
    </row>
    <row r="6" ht="15.6" spans="1:25">
      <c r="A6" s="36">
        <f t="shared" si="0"/>
        <v>4</v>
      </c>
      <c r="B6" s="36">
        <f t="shared" si="1"/>
        <v>4</v>
      </c>
      <c r="C6" s="133" t="s">
        <v>56</v>
      </c>
      <c r="D6" s="134" t="s">
        <v>57</v>
      </c>
      <c r="E6" s="135">
        <v>72708</v>
      </c>
      <c r="F6" s="133" t="s">
        <v>58</v>
      </c>
      <c r="G6" s="39" t="s">
        <v>59</v>
      </c>
      <c r="H6" s="28">
        <f ca="1" t="shared" si="2"/>
        <v>23</v>
      </c>
      <c r="I6" s="28" t="s">
        <v>31</v>
      </c>
      <c r="J6" s="29" t="s">
        <v>32</v>
      </c>
      <c r="K6" s="28" t="s">
        <v>60</v>
      </c>
      <c r="L6" s="28" t="str">
        <f t="shared" si="3"/>
        <v>20020807</v>
      </c>
      <c r="M6" s="124">
        <v>18613237281</v>
      </c>
      <c r="N6" s="136" t="s">
        <v>34</v>
      </c>
      <c r="O6" s="137"/>
      <c r="P6" s="137"/>
      <c r="Q6" s="138" t="s">
        <v>61</v>
      </c>
      <c r="R6" s="39" t="s">
        <v>62</v>
      </c>
      <c r="S6" s="124">
        <v>18283852665</v>
      </c>
      <c r="T6" s="139" t="s">
        <v>63</v>
      </c>
      <c r="U6" s="42">
        <v>48867</v>
      </c>
      <c r="V6" s="28">
        <f ca="1" t="shared" si="4"/>
        <v>2777</v>
      </c>
      <c r="W6" s="34">
        <v>45746</v>
      </c>
      <c r="X6" s="34">
        <v>45746</v>
      </c>
      <c r="Y6" s="28">
        <f ca="1">TODAY()-W6</f>
        <v>344</v>
      </c>
    </row>
    <row r="7" ht="15" spans="1:25">
      <c r="A7" s="36">
        <f t="shared" si="0"/>
        <v>5</v>
      </c>
      <c r="B7" s="36">
        <f t="shared" si="1"/>
        <v>5</v>
      </c>
      <c r="C7" s="25" t="s">
        <v>64</v>
      </c>
      <c r="D7" s="140" t="s">
        <v>65</v>
      </c>
      <c r="E7" s="141">
        <v>32348</v>
      </c>
      <c r="F7" s="128" t="s">
        <v>29</v>
      </c>
      <c r="G7" s="25" t="s">
        <v>59</v>
      </c>
      <c r="H7" s="28">
        <f ca="1" t="shared" si="2"/>
        <v>30</v>
      </c>
      <c r="I7" s="28" t="s">
        <v>31</v>
      </c>
      <c r="J7" s="29" t="s">
        <v>32</v>
      </c>
      <c r="K7" s="150" t="s">
        <v>66</v>
      </c>
      <c r="L7" s="43" t="str">
        <f t="shared" si="3"/>
        <v>19951207</v>
      </c>
      <c r="M7" s="33">
        <v>18395010509</v>
      </c>
      <c r="N7" s="33" t="s">
        <v>67</v>
      </c>
      <c r="O7" s="28" t="s">
        <v>68</v>
      </c>
      <c r="P7" s="28" t="s">
        <v>69</v>
      </c>
      <c r="Q7" s="33" t="s">
        <v>70</v>
      </c>
      <c r="R7" s="28" t="s">
        <v>71</v>
      </c>
      <c r="S7" s="25">
        <v>13007989173</v>
      </c>
      <c r="T7" s="39" t="s">
        <v>72</v>
      </c>
      <c r="U7" s="42">
        <v>49255</v>
      </c>
      <c r="V7" s="33">
        <f ca="1" t="shared" si="4"/>
        <v>3165</v>
      </c>
      <c r="W7" s="34">
        <v>45901</v>
      </c>
      <c r="X7" s="34">
        <v>45902</v>
      </c>
      <c r="Y7" s="28">
        <f ca="1" t="shared" si="5"/>
        <v>188</v>
      </c>
    </row>
    <row r="8" ht="15" spans="1:25">
      <c r="A8" s="36">
        <f t="shared" si="0"/>
        <v>6</v>
      </c>
      <c r="B8" s="36">
        <f t="shared" si="1"/>
        <v>6</v>
      </c>
      <c r="C8" s="25" t="s">
        <v>73</v>
      </c>
      <c r="D8" s="31" t="s">
        <v>74</v>
      </c>
      <c r="E8" s="126">
        <v>64736</v>
      </c>
      <c r="F8" s="25" t="s">
        <v>75</v>
      </c>
      <c r="G8" s="25" t="s">
        <v>59</v>
      </c>
      <c r="H8" s="28">
        <f ca="1" t="shared" si="2"/>
        <v>28</v>
      </c>
      <c r="I8" s="28" t="s">
        <v>31</v>
      </c>
      <c r="J8" s="29" t="s">
        <v>32</v>
      </c>
      <c r="K8" s="150" t="s">
        <v>76</v>
      </c>
      <c r="L8" s="28" t="str">
        <f t="shared" si="3"/>
        <v>19980101</v>
      </c>
      <c r="M8" s="25">
        <v>13195092793</v>
      </c>
      <c r="N8" s="25" t="s">
        <v>67</v>
      </c>
      <c r="O8" s="28" t="s">
        <v>68</v>
      </c>
      <c r="P8" s="25" t="s">
        <v>77</v>
      </c>
      <c r="Q8" s="25" t="s">
        <v>78</v>
      </c>
      <c r="R8" s="25" t="s">
        <v>79</v>
      </c>
      <c r="S8" s="25">
        <v>13239580212</v>
      </c>
      <c r="T8" s="31" t="s">
        <v>80</v>
      </c>
      <c r="U8" s="42">
        <v>46410</v>
      </c>
      <c r="V8" s="33">
        <f ca="1" t="shared" si="4"/>
        <v>320</v>
      </c>
      <c r="W8" s="34">
        <v>45930</v>
      </c>
      <c r="X8" s="34">
        <v>45931</v>
      </c>
      <c r="Y8" s="127">
        <f ca="1" t="shared" si="5"/>
        <v>159</v>
      </c>
    </row>
    <row r="9" ht="15" spans="1:25">
      <c r="A9" s="36">
        <f t="shared" si="0"/>
        <v>7</v>
      </c>
      <c r="B9" s="36">
        <f t="shared" si="1"/>
        <v>7</v>
      </c>
      <c r="C9" s="25" t="s">
        <v>81</v>
      </c>
      <c r="D9" s="27" t="s">
        <v>82</v>
      </c>
      <c r="E9" s="126">
        <v>51687</v>
      </c>
      <c r="F9" s="25" t="s">
        <v>75</v>
      </c>
      <c r="G9" s="25" t="s">
        <v>59</v>
      </c>
      <c r="H9" s="28">
        <f ca="1" t="shared" si="2"/>
        <v>43</v>
      </c>
      <c r="I9" s="28" t="s">
        <v>31</v>
      </c>
      <c r="J9" s="29" t="s">
        <v>32</v>
      </c>
      <c r="K9" s="30" t="s">
        <v>83</v>
      </c>
      <c r="L9" s="28" t="str">
        <f t="shared" si="3"/>
        <v>19820324</v>
      </c>
      <c r="M9" s="25">
        <v>13895522855</v>
      </c>
      <c r="N9" s="25" t="s">
        <v>67</v>
      </c>
      <c r="O9" s="28" t="s">
        <v>84</v>
      </c>
      <c r="P9" s="25" t="s">
        <v>85</v>
      </c>
      <c r="Q9" s="25" t="s">
        <v>86</v>
      </c>
      <c r="R9" s="25" t="s">
        <v>87</v>
      </c>
      <c r="S9" s="25">
        <v>15769632173</v>
      </c>
      <c r="T9" s="31" t="s">
        <v>88</v>
      </c>
      <c r="U9" s="42">
        <v>47292</v>
      </c>
      <c r="V9" s="33">
        <f ca="1" t="shared" si="4"/>
        <v>1202</v>
      </c>
      <c r="W9" s="34">
        <v>45995</v>
      </c>
      <c r="X9" s="34">
        <v>45996</v>
      </c>
      <c r="Y9" s="28">
        <f ca="1" t="shared" si="5"/>
        <v>94</v>
      </c>
    </row>
    <row r="10" ht="15" spans="1:25">
      <c r="A10" s="36">
        <f t="shared" si="0"/>
        <v>8</v>
      </c>
      <c r="B10" s="36">
        <f t="shared" si="1"/>
        <v>8</v>
      </c>
      <c r="C10" s="25" t="s">
        <v>89</v>
      </c>
      <c r="D10" s="38" t="s">
        <v>90</v>
      </c>
      <c r="E10" s="142">
        <v>27478</v>
      </c>
      <c r="F10" s="39" t="s">
        <v>91</v>
      </c>
      <c r="G10" s="39" t="s">
        <v>59</v>
      </c>
      <c r="H10" s="28">
        <f ca="1" t="shared" si="2"/>
        <v>41</v>
      </c>
      <c r="I10" s="28" t="s">
        <v>31</v>
      </c>
      <c r="J10" s="29" t="s">
        <v>32</v>
      </c>
      <c r="K10" s="30" t="s">
        <v>92</v>
      </c>
      <c r="L10" s="43" t="str">
        <f t="shared" si="3"/>
        <v>19840915</v>
      </c>
      <c r="M10" s="40">
        <v>18508546479</v>
      </c>
      <c r="N10" s="28" t="s">
        <v>93</v>
      </c>
      <c r="O10" s="28" t="s">
        <v>94</v>
      </c>
      <c r="P10" s="28"/>
      <c r="Q10" s="28" t="s">
        <v>95</v>
      </c>
      <c r="R10" s="28" t="s">
        <v>96</v>
      </c>
      <c r="S10" s="41">
        <v>18508546479</v>
      </c>
      <c r="T10" s="39" t="s">
        <v>97</v>
      </c>
      <c r="U10" s="42">
        <v>48717</v>
      </c>
      <c r="V10" s="43">
        <f ca="1" t="shared" si="4"/>
        <v>2627</v>
      </c>
      <c r="W10" s="34">
        <v>45991</v>
      </c>
      <c r="X10" s="34">
        <v>45991</v>
      </c>
      <c r="Y10" s="28">
        <f ca="1" t="shared" si="5"/>
        <v>99</v>
      </c>
    </row>
    <row r="11" ht="15" spans="1:25">
      <c r="A11" s="36">
        <f t="shared" si="0"/>
        <v>9</v>
      </c>
      <c r="B11" s="36">
        <f t="shared" si="1"/>
        <v>9</v>
      </c>
      <c r="C11" s="25" t="s">
        <v>98</v>
      </c>
      <c r="D11" s="27" t="s">
        <v>99</v>
      </c>
      <c r="E11" s="126">
        <v>59768</v>
      </c>
      <c r="F11" s="25" t="s">
        <v>75</v>
      </c>
      <c r="G11" s="25" t="s">
        <v>59</v>
      </c>
      <c r="H11" s="28">
        <f ca="1" t="shared" si="2"/>
        <v>34</v>
      </c>
      <c r="I11" s="28" t="s">
        <v>31</v>
      </c>
      <c r="J11" s="29" t="s">
        <v>32</v>
      </c>
      <c r="K11" s="30" t="s">
        <v>100</v>
      </c>
      <c r="L11" s="28" t="str">
        <f t="shared" si="3"/>
        <v>19911218</v>
      </c>
      <c r="M11" s="25">
        <v>15109668241</v>
      </c>
      <c r="N11" s="25" t="s">
        <v>101</v>
      </c>
      <c r="O11" s="28"/>
      <c r="P11" s="25"/>
      <c r="Q11" s="25" t="s">
        <v>102</v>
      </c>
      <c r="R11" s="25" t="s">
        <v>103</v>
      </c>
      <c r="S11" s="25">
        <v>13995499864</v>
      </c>
      <c r="T11" s="31" t="s">
        <v>104</v>
      </c>
      <c r="U11" s="42">
        <v>47901</v>
      </c>
      <c r="V11" s="33">
        <f ca="1" t="shared" si="4"/>
        <v>1811</v>
      </c>
      <c r="W11" s="34">
        <v>46055</v>
      </c>
      <c r="X11" s="34">
        <v>46055</v>
      </c>
      <c r="Y11" s="28">
        <f ca="1" t="shared" si="5"/>
        <v>35</v>
      </c>
    </row>
    <row r="12" ht="15" spans="1:25">
      <c r="A12" s="36">
        <f t="shared" si="0"/>
        <v>10</v>
      </c>
      <c r="B12" s="36">
        <f t="shared" si="1"/>
        <v>10</v>
      </c>
      <c r="C12" s="25" t="s">
        <v>105</v>
      </c>
      <c r="D12" s="27" t="s">
        <v>106</v>
      </c>
      <c r="E12" s="25">
        <v>8311</v>
      </c>
      <c r="F12" s="25" t="s">
        <v>107</v>
      </c>
      <c r="G12" s="25" t="s">
        <v>59</v>
      </c>
      <c r="H12" s="28">
        <f ca="1" t="shared" si="2"/>
        <v>54</v>
      </c>
      <c r="I12" s="25" t="s">
        <v>31</v>
      </c>
      <c r="J12" s="25" t="s">
        <v>32</v>
      </c>
      <c r="K12" s="151" t="s">
        <v>108</v>
      </c>
      <c r="L12" s="25" t="str">
        <f t="shared" si="3"/>
        <v>19711013</v>
      </c>
      <c r="M12" s="25">
        <v>18053829207</v>
      </c>
      <c r="N12" s="25" t="s">
        <v>44</v>
      </c>
      <c r="O12" s="25" t="s">
        <v>109</v>
      </c>
      <c r="P12" s="25" t="s">
        <v>110</v>
      </c>
      <c r="Q12" s="25" t="s">
        <v>111</v>
      </c>
      <c r="R12" s="25" t="s">
        <v>112</v>
      </c>
      <c r="S12" s="25">
        <v>13963591084</v>
      </c>
      <c r="T12" s="25" t="s">
        <v>113</v>
      </c>
      <c r="U12" s="42">
        <v>49373</v>
      </c>
      <c r="V12" s="25">
        <f ca="1" t="shared" si="4"/>
        <v>3283</v>
      </c>
      <c r="W12" s="34">
        <v>45854</v>
      </c>
      <c r="X12" s="34">
        <v>45854</v>
      </c>
      <c r="Y12" s="127">
        <f ca="1" t="shared" si="5"/>
        <v>236</v>
      </c>
    </row>
    <row r="13" ht="15" spans="1:25">
      <c r="A13" s="36">
        <f t="shared" si="0"/>
        <v>11</v>
      </c>
      <c r="B13" s="36">
        <f t="shared" si="1"/>
        <v>11</v>
      </c>
      <c r="C13" s="25" t="s">
        <v>114</v>
      </c>
      <c r="D13" s="27" t="s">
        <v>115</v>
      </c>
      <c r="E13" s="25">
        <v>55834</v>
      </c>
      <c r="F13" s="25" t="s">
        <v>116</v>
      </c>
      <c r="G13" s="25" t="s">
        <v>59</v>
      </c>
      <c r="H13" s="28">
        <f ca="1" t="shared" si="2"/>
        <v>51</v>
      </c>
      <c r="I13" s="25" t="s">
        <v>31</v>
      </c>
      <c r="J13" s="25" t="s">
        <v>32</v>
      </c>
      <c r="K13" s="151" t="s">
        <v>117</v>
      </c>
      <c r="L13" s="25" t="str">
        <f t="shared" si="3"/>
        <v>19740516</v>
      </c>
      <c r="M13" s="25">
        <v>15565739391</v>
      </c>
      <c r="N13" s="25" t="s">
        <v>118</v>
      </c>
      <c r="O13" s="25" t="s">
        <v>119</v>
      </c>
      <c r="P13" s="25" t="s">
        <v>120</v>
      </c>
      <c r="Q13" s="25" t="s">
        <v>121</v>
      </c>
      <c r="R13" s="25" t="s">
        <v>122</v>
      </c>
      <c r="S13" s="25">
        <v>15372677393</v>
      </c>
      <c r="T13" s="25" t="s">
        <v>123</v>
      </c>
      <c r="U13" s="42">
        <v>46733</v>
      </c>
      <c r="V13" s="25">
        <f ca="1" t="shared" si="4"/>
        <v>643</v>
      </c>
      <c r="W13" s="34">
        <v>45726</v>
      </c>
      <c r="X13" s="34">
        <v>45727</v>
      </c>
      <c r="Y13" s="127">
        <f ca="1" t="shared" si="5"/>
        <v>363</v>
      </c>
    </row>
    <row r="14" ht="15.6" spans="1:25">
      <c r="A14" s="36">
        <f t="shared" si="0"/>
        <v>12</v>
      </c>
      <c r="B14" s="36">
        <f t="shared" si="1"/>
        <v>12</v>
      </c>
      <c r="C14" s="143" t="s">
        <v>124</v>
      </c>
      <c r="D14" s="37" t="s">
        <v>125</v>
      </c>
      <c r="E14" s="141">
        <v>73849</v>
      </c>
      <c r="F14" s="143" t="s">
        <v>126</v>
      </c>
      <c r="G14" s="39" t="s">
        <v>59</v>
      </c>
      <c r="H14" s="28">
        <f ca="1" t="shared" si="2"/>
        <v>47</v>
      </c>
      <c r="I14" s="28" t="s">
        <v>31</v>
      </c>
      <c r="J14" s="29" t="s">
        <v>32</v>
      </c>
      <c r="K14" s="144" t="s">
        <v>127</v>
      </c>
      <c r="L14" s="43" t="str">
        <f t="shared" si="3"/>
        <v>19790113</v>
      </c>
      <c r="M14" s="145" t="s">
        <v>128</v>
      </c>
      <c r="N14" s="146" t="s">
        <v>118</v>
      </c>
      <c r="O14" s="28" t="s">
        <v>119</v>
      </c>
      <c r="P14" s="28" t="s">
        <v>129</v>
      </c>
      <c r="Q14" s="146" t="s">
        <v>130</v>
      </c>
      <c r="R14" s="147" t="s">
        <v>131</v>
      </c>
      <c r="S14" s="124">
        <v>15083041356</v>
      </c>
      <c r="T14" s="148" t="s">
        <v>132</v>
      </c>
      <c r="U14" s="149">
        <v>48766</v>
      </c>
      <c r="V14" s="28">
        <f ca="1" t="shared" si="4"/>
        <v>2676</v>
      </c>
      <c r="W14" s="34">
        <v>45669</v>
      </c>
      <c r="X14" s="34">
        <v>45669</v>
      </c>
      <c r="Y14" s="28">
        <f ca="1" t="shared" si="5"/>
        <v>421</v>
      </c>
    </row>
    <row r="15" spans="1:25">
      <c r="H15" s="121"/>
      <c r="K15" s="120"/>
      <c r="R15" s="122"/>
      <c r="S15" s="123"/>
      <c r="T15" s="123"/>
      <c r="U15" s="120"/>
      <c r="W15" s="120"/>
      <c r="X15" s="120"/>
      <c r="Y15" s="2"/>
    </row>
    <row r="16" spans="1:25">
      <c r="H16" s="121"/>
      <c r="K16" s="120"/>
      <c r="R16" s="122"/>
      <c r="S16" s="123"/>
      <c r="T16" s="123"/>
      <c r="U16" s="120"/>
      <c r="W16" s="120"/>
      <c r="X16" s="120"/>
      <c r="Y16" s="2"/>
    </row>
    <row r="17" spans="8:25">
      <c r="H17" s="121"/>
      <c r="K17" s="120"/>
      <c r="R17" s="122"/>
      <c r="S17" s="123"/>
      <c r="T17" s="123"/>
      <c r="U17" s="120"/>
      <c r="W17" s="120"/>
      <c r="X17" s="120"/>
      <c r="Y17" s="2"/>
    </row>
    <row r="18" spans="8:25">
      <c r="H18" s="121"/>
      <c r="K18" s="120"/>
      <c r="R18" s="122"/>
      <c r="S18" s="123"/>
      <c r="T18" s="123"/>
      <c r="U18" s="120"/>
      <c r="W18" s="120"/>
      <c r="X18" s="120"/>
      <c r="Y18" s="2"/>
    </row>
    <row r="19" spans="8:25">
      <c r="V19" s="122"/>
      <c r="X19" s="123"/>
      <c r="Y19" s="2"/>
    </row>
    <row r="20" spans="8:25">
      <c r="V20" s="122"/>
      <c r="X20" s="123"/>
      <c r="Y20" s="2"/>
    </row>
    <row r="21" spans="8:25">
      <c r="V21" s="122"/>
      <c r="X21" s="123"/>
      <c r="Y21" s="2"/>
    </row>
    <row r="22" spans="8:25">
      <c r="V22" s="122"/>
      <c r="X22" s="123"/>
      <c r="Y22" s="2"/>
    </row>
    <row r="23" spans="8:25">
      <c r="V23" s="122"/>
      <c r="X23" s="123"/>
      <c r="Y23" s="2"/>
    </row>
    <row r="24" spans="8:25">
      <c r="V24" s="122"/>
      <c r="X24" s="123"/>
      <c r="Y24" s="2"/>
    </row>
    <row r="25" spans="8:25">
      <c r="V25" s="122"/>
      <c r="X25" s="123"/>
      <c r="Y25" s="2"/>
    </row>
    <row r="26" spans="8:25">
      <c r="V26" s="122"/>
      <c r="X26" s="123"/>
      <c r="Y26" s="2"/>
    </row>
    <row r="27" spans="8:25">
      <c r="V27" s="122"/>
      <c r="X27" s="123"/>
      <c r="Y27" s="2"/>
    </row>
    <row r="28" spans="8:25">
      <c r="V28" s="122"/>
      <c r="X28" s="123"/>
      <c r="Y28" s="2"/>
    </row>
    <row r="29" spans="8:25">
      <c r="V29" s="122"/>
      <c r="X29" s="123"/>
      <c r="Y29" s="2"/>
    </row>
    <row r="30" spans="8:25">
      <c r="V30" s="122"/>
      <c r="X30" s="123"/>
      <c r="Y30" s="2"/>
    </row>
    <row r="31" spans="8:25">
      <c r="V31" s="122"/>
      <c r="X31" s="123"/>
      <c r="Y31" s="2"/>
    </row>
    <row r="32" spans="8:25">
      <c r="V32" s="122"/>
      <c r="X32" s="123"/>
      <c r="Y32" s="2"/>
    </row>
    <row r="33" spans="22:25">
      <c r="V33" s="122"/>
      <c r="X33" s="123"/>
      <c r="Y33" s="2"/>
    </row>
    <row r="34" spans="22:25">
      <c r="V34" s="122"/>
      <c r="X34" s="123"/>
      <c r="Y34" s="2"/>
    </row>
    <row r="35" spans="22:25">
      <c r="V35" s="122"/>
      <c r="X35" s="123"/>
      <c r="Y35" s="2"/>
    </row>
    <row r="36" spans="22:25">
      <c r="V36" s="122"/>
      <c r="X36" s="123"/>
      <c r="Y36" s="2"/>
    </row>
    <row r="37" spans="22:25">
      <c r="V37" s="122"/>
      <c r="X37" s="123"/>
      <c r="Y37" s="2"/>
    </row>
    <row r="38" spans="22:25">
      <c r="V38" s="122"/>
      <c r="X38" s="123"/>
      <c r="Y38" s="2"/>
    </row>
    <row r="39" spans="22:25">
      <c r="V39" s="122"/>
      <c r="X39" s="123"/>
      <c r="Y39" s="2"/>
    </row>
    <row r="40" spans="22:25">
      <c r="V40" s="122"/>
      <c r="X40" s="123"/>
      <c r="Y40" s="2"/>
    </row>
    <row r="41" spans="22:25">
      <c r="V41" s="122"/>
      <c r="X41" s="123"/>
      <c r="Y41" s="2"/>
    </row>
    <row r="42" spans="22:25">
      <c r="V42" s="122"/>
      <c r="X42" s="123"/>
      <c r="Y42" s="2"/>
    </row>
    <row r="43" spans="22:25">
      <c r="V43" s="122"/>
      <c r="X43" s="123"/>
      <c r="Y43" s="2"/>
    </row>
    <row r="44" spans="22:25">
      <c r="V44" s="122"/>
      <c r="X44" s="123"/>
      <c r="Y44" s="2"/>
    </row>
    <row r="45" spans="22:25">
      <c r="V45" s="122"/>
      <c r="X45" s="123"/>
      <c r="Y45" s="2"/>
    </row>
    <row r="46" spans="22:25">
      <c r="V46" s="122"/>
      <c r="X46" s="123"/>
      <c r="Y46" s="2"/>
    </row>
    <row r="47" spans="22:25">
      <c r="V47" s="122"/>
      <c r="X47" s="123"/>
      <c r="Y47" s="2"/>
    </row>
    <row r="48" spans="22:25">
      <c r="V48" s="122"/>
      <c r="X48" s="123"/>
      <c r="Y48" s="2"/>
    </row>
    <row r="49" spans="22:25">
      <c r="V49" s="122"/>
      <c r="X49" s="123"/>
      <c r="Y49" s="2"/>
    </row>
    <row r="50" spans="22:25">
      <c r="V50" s="122"/>
      <c r="X50" s="123"/>
      <c r="Y50" s="2"/>
    </row>
    <row r="51" spans="22:25">
      <c r="V51" s="122"/>
      <c r="X51" s="123"/>
      <c r="Y51" s="2"/>
    </row>
    <row r="52" spans="22:25">
      <c r="V52" s="122"/>
      <c r="X52" s="123"/>
      <c r="Y52" s="2"/>
    </row>
    <row r="53" spans="22:25">
      <c r="V53" s="122"/>
      <c r="X53" s="123"/>
      <c r="Y53" s="2"/>
    </row>
    <row r="54" spans="22:25">
      <c r="V54" s="122"/>
      <c r="X54" s="123"/>
      <c r="Y54" s="2"/>
    </row>
    <row r="55" spans="22:25">
      <c r="V55" s="122"/>
      <c r="X55" s="123"/>
      <c r="Y55" s="2"/>
    </row>
    <row r="56" spans="22:25">
      <c r="V56" s="122"/>
      <c r="X56" s="123"/>
      <c r="Y56" s="2"/>
    </row>
    <row r="57" spans="22:25">
      <c r="V57" s="122"/>
      <c r="X57" s="123"/>
      <c r="Y57" s="2"/>
    </row>
    <row r="58" spans="22:25">
      <c r="V58" s="122"/>
      <c r="X58" s="123"/>
      <c r="Y58" s="2"/>
    </row>
    <row r="59" spans="22:25">
      <c r="V59" s="122"/>
      <c r="X59" s="123"/>
      <c r="Y59" s="2"/>
    </row>
    <row r="60" spans="22:25">
      <c r="V60" s="122"/>
      <c r="X60" s="123"/>
      <c r="Y60" s="2"/>
    </row>
    <row r="61" spans="22:25">
      <c r="V61" s="122"/>
      <c r="X61" s="123"/>
      <c r="Y61" s="2"/>
    </row>
    <row r="62" spans="22:25">
      <c r="V62" s="122"/>
      <c r="X62" s="123"/>
      <c r="Y62" s="2"/>
    </row>
    <row r="63" spans="22:25">
      <c r="V63" s="122"/>
      <c r="X63" s="123"/>
      <c r="Y63" s="2"/>
    </row>
    <row r="64" spans="22:25">
      <c r="V64" s="122"/>
      <c r="X64" s="123"/>
      <c r="Y64" s="2"/>
    </row>
    <row r="65" spans="22:25">
      <c r="V65" s="122"/>
      <c r="X65" s="123"/>
      <c r="Y65" s="2"/>
    </row>
    <row r="66" spans="22:25">
      <c r="V66" s="122"/>
      <c r="X66" s="123"/>
      <c r="Y66" s="2"/>
    </row>
    <row r="67" spans="22:25">
      <c r="V67" s="122"/>
      <c r="X67" s="123"/>
      <c r="Y67" s="2"/>
    </row>
    <row r="68" spans="22:25">
      <c r="V68" s="122"/>
      <c r="X68" s="123"/>
      <c r="Y68" s="2"/>
    </row>
    <row r="69" spans="22:25">
      <c r="V69" s="122"/>
      <c r="X69" s="123"/>
      <c r="Y69" s="2"/>
    </row>
    <row r="70" spans="22:25">
      <c r="V70" s="122"/>
      <c r="X70" s="123"/>
      <c r="Y70" s="2"/>
    </row>
    <row r="71" spans="22:25">
      <c r="V71" s="122"/>
      <c r="X71" s="123"/>
      <c r="Y71" s="2"/>
    </row>
    <row r="72" spans="22:25">
      <c r="V72" s="122"/>
      <c r="X72" s="123"/>
      <c r="Y72" s="2"/>
    </row>
    <row r="73" spans="22:25">
      <c r="V73" s="122"/>
      <c r="X73" s="123"/>
      <c r="Y73" s="2"/>
    </row>
    <row r="74" spans="22:25">
      <c r="V74" s="122"/>
      <c r="X74" s="123"/>
      <c r="Y74" s="2"/>
    </row>
    <row r="75" spans="22:25">
      <c r="V75" s="122"/>
      <c r="X75" s="123"/>
      <c r="Y75" s="2"/>
    </row>
    <row r="76" spans="22:25">
      <c r="V76" s="122"/>
      <c r="X76" s="123"/>
      <c r="Y76" s="2"/>
    </row>
    <row r="77" spans="22:25">
      <c r="V77" s="122"/>
      <c r="X77" s="123"/>
      <c r="Y77" s="2"/>
    </row>
    <row r="78" spans="22:25">
      <c r="V78" s="122"/>
      <c r="X78" s="123"/>
      <c r="Y78" s="2"/>
    </row>
    <row r="79" spans="22:25">
      <c r="V79" s="122"/>
      <c r="X79" s="123"/>
      <c r="Y79" s="2"/>
    </row>
    <row r="80" spans="22:25">
      <c r="V80" s="122"/>
      <c r="X80" s="123"/>
      <c r="Y80" s="2"/>
    </row>
    <row r="81" spans="22:25">
      <c r="V81" s="122"/>
      <c r="X81" s="123"/>
      <c r="Y81" s="2"/>
    </row>
    <row r="82" spans="22:25">
      <c r="V82" s="122"/>
      <c r="X82" s="123"/>
      <c r="Y82" s="2"/>
    </row>
    <row r="83" spans="22:25">
      <c r="V83" s="122"/>
      <c r="X83" s="123"/>
      <c r="Y83" s="2"/>
    </row>
    <row r="84" spans="22:25">
      <c r="V84" s="122"/>
      <c r="X84" s="123"/>
      <c r="Y84" s="2"/>
    </row>
    <row r="85" spans="22:25">
      <c r="V85" s="122"/>
      <c r="X85" s="123"/>
      <c r="Y85" s="2"/>
    </row>
    <row r="86" spans="22:25">
      <c r="V86" s="122"/>
      <c r="X86" s="123"/>
      <c r="Y86" s="2"/>
    </row>
    <row r="87" spans="22:25">
      <c r="V87" s="122"/>
      <c r="X87" s="123"/>
      <c r="Y87" s="2"/>
    </row>
    <row r="88" spans="22:25">
      <c r="V88" s="122"/>
      <c r="X88" s="123"/>
      <c r="Y88" s="2"/>
    </row>
    <row r="89" spans="22:25">
      <c r="V89" s="122"/>
      <c r="X89" s="123"/>
      <c r="Y89" s="2"/>
    </row>
    <row r="90" spans="22:25">
      <c r="V90" s="122"/>
      <c r="X90" s="123"/>
      <c r="Y90" s="2"/>
    </row>
    <row r="91" spans="22:25">
      <c r="V91" s="122"/>
      <c r="X91" s="123"/>
      <c r="Y91" s="2"/>
    </row>
    <row r="92" spans="22:25">
      <c r="V92" s="122"/>
      <c r="X92" s="123"/>
      <c r="Y92" s="2"/>
    </row>
    <row r="93" spans="22:25">
      <c r="V93" s="122"/>
      <c r="X93" s="123"/>
      <c r="Y93" s="2"/>
    </row>
    <row r="94" spans="22:25">
      <c r="V94" s="122"/>
      <c r="X94" s="123"/>
      <c r="Y94" s="2"/>
    </row>
    <row r="95" spans="22:25">
      <c r="V95" s="122"/>
      <c r="X95" s="123"/>
      <c r="Y95" s="2"/>
    </row>
    <row r="96" spans="22:25">
      <c r="V96" s="122"/>
      <c r="X96" s="123"/>
      <c r="Y96" s="2"/>
    </row>
    <row r="97" spans="22:25">
      <c r="V97" s="122"/>
      <c r="X97" s="123"/>
      <c r="Y97" s="2"/>
    </row>
    <row r="98" spans="22:25">
      <c r="V98" s="122"/>
      <c r="X98" s="123"/>
      <c r="Y98" s="2"/>
    </row>
    <row r="99" spans="22:25">
      <c r="V99" s="122"/>
      <c r="X99" s="123"/>
      <c r="Y99" s="2"/>
    </row>
    <row r="100" spans="22:25">
      <c r="V100" s="122"/>
      <c r="X100" s="123"/>
      <c r="Y100" s="2"/>
    </row>
    <row r="101" spans="22:25">
      <c r="V101" s="122"/>
      <c r="X101" s="123"/>
      <c r="Y101" s="2"/>
    </row>
    <row r="102" spans="22:25">
      <c r="V102" s="122"/>
      <c r="X102" s="123"/>
      <c r="Y102" s="2"/>
    </row>
    <row r="103" spans="22:25">
      <c r="V103" s="122"/>
      <c r="X103" s="123"/>
      <c r="Y103" s="2"/>
    </row>
    <row r="104" spans="22:25">
      <c r="V104" s="122"/>
      <c r="X104" s="123"/>
      <c r="Y104" s="2"/>
    </row>
    <row r="105" spans="22:25">
      <c r="V105" s="122"/>
      <c r="X105" s="123"/>
      <c r="Y105" s="2"/>
    </row>
    <row r="106" spans="22:25">
      <c r="V106" s="122"/>
      <c r="X106" s="123"/>
      <c r="Y106" s="2"/>
    </row>
    <row r="107" spans="22:25">
      <c r="V107" s="122"/>
      <c r="X107" s="123"/>
      <c r="Y107" s="2"/>
    </row>
    <row r="108" spans="22:25">
      <c r="V108" s="122"/>
      <c r="X108" s="123"/>
      <c r="Y108" s="2"/>
    </row>
    <row r="109" spans="22:25">
      <c r="V109" s="122"/>
      <c r="X109" s="123"/>
      <c r="Y109" s="2"/>
    </row>
    <row r="110" spans="22:25">
      <c r="V110" s="122"/>
      <c r="X110" s="123"/>
      <c r="Y110" s="2"/>
    </row>
    <row r="111" spans="22:25">
      <c r="V111" s="122"/>
      <c r="X111" s="123"/>
      <c r="Y111" s="2"/>
    </row>
    <row r="112" spans="22:25">
      <c r="V112" s="122"/>
      <c r="X112" s="123"/>
      <c r="Y112" s="2"/>
    </row>
    <row r="113" spans="22:25">
      <c r="V113" s="122"/>
      <c r="X113" s="123"/>
      <c r="Y113" s="2"/>
    </row>
    <row r="114" spans="22:25">
      <c r="V114" s="122"/>
      <c r="X114" s="123"/>
      <c r="Y114" s="2"/>
    </row>
    <row r="115" spans="22:25">
      <c r="V115" s="122"/>
      <c r="X115" s="123"/>
      <c r="Y115" s="2"/>
    </row>
    <row r="116" spans="22:25">
      <c r="V116" s="122"/>
      <c r="X116" s="123"/>
      <c r="Y116" s="2"/>
    </row>
    <row r="117" spans="22:25">
      <c r="V117" s="122"/>
      <c r="X117" s="123"/>
      <c r="Y117" s="2"/>
    </row>
    <row r="118" spans="22:25">
      <c r="V118" s="122"/>
      <c r="X118" s="123"/>
      <c r="Y118" s="2"/>
    </row>
    <row r="119" spans="22:25">
      <c r="V119" s="122"/>
      <c r="X119" s="123"/>
      <c r="Y119" s="2"/>
    </row>
    <row r="120" spans="22:25">
      <c r="V120" s="122"/>
      <c r="X120" s="123"/>
      <c r="Y120" s="2"/>
    </row>
    <row r="121" spans="22:25">
      <c r="V121" s="122"/>
      <c r="X121" s="123"/>
      <c r="Y121" s="2"/>
    </row>
    <row r="122" spans="22:25">
      <c r="V122" s="122"/>
      <c r="X122" s="123"/>
      <c r="Y122" s="2"/>
    </row>
    <row r="123" spans="22:25">
      <c r="V123" s="122"/>
      <c r="X123" s="123"/>
      <c r="Y123" s="2"/>
    </row>
    <row r="124" spans="22:25">
      <c r="V124" s="122"/>
      <c r="X124" s="123"/>
      <c r="Y124" s="2"/>
    </row>
    <row r="125" spans="22:25">
      <c r="V125" s="122"/>
      <c r="X125" s="123"/>
      <c r="Y125" s="2"/>
    </row>
    <row r="126" spans="22:25">
      <c r="V126" s="122"/>
      <c r="X126" s="123"/>
      <c r="Y126" s="2"/>
    </row>
    <row r="127" spans="22:25">
      <c r="V127" s="122"/>
      <c r="X127" s="123"/>
      <c r="Y127" s="2"/>
    </row>
    <row r="128" spans="22:25">
      <c r="V128" s="122"/>
      <c r="X128" s="123"/>
      <c r="Y128" s="2"/>
    </row>
    <row r="129" spans="22:25">
      <c r="V129" s="122"/>
      <c r="X129" s="123"/>
      <c r="Y129" s="2"/>
    </row>
    <row r="130" spans="22:25">
      <c r="V130" s="122"/>
      <c r="X130" s="123"/>
      <c r="Y130" s="2"/>
    </row>
    <row r="131" spans="22:25">
      <c r="V131" s="122"/>
      <c r="X131" s="123"/>
      <c r="Y131" s="2"/>
    </row>
    <row r="132" spans="22:25">
      <c r="V132" s="122"/>
      <c r="X132" s="123"/>
      <c r="Y132" s="2"/>
    </row>
    <row r="133" spans="22:25">
      <c r="V133" s="122"/>
      <c r="X133" s="123"/>
      <c r="Y133" s="2"/>
    </row>
    <row r="134" spans="22:25">
      <c r="V134" s="122"/>
      <c r="X134" s="123"/>
      <c r="Y134" s="2"/>
    </row>
    <row r="135" spans="22:25">
      <c r="V135" s="122"/>
      <c r="X135" s="123"/>
      <c r="Y135" s="2"/>
    </row>
    <row r="136" spans="22:25">
      <c r="V136" s="122"/>
      <c r="X136" s="123"/>
      <c r="Y136" s="2"/>
    </row>
    <row r="137" spans="22:25">
      <c r="V137" s="122"/>
      <c r="X137" s="123"/>
      <c r="Y137" s="2"/>
    </row>
    <row r="138" spans="22:25">
      <c r="V138" s="122"/>
      <c r="X138" s="123"/>
      <c r="Y138" s="2"/>
    </row>
    <row r="139" spans="22:25">
      <c r="V139" s="122"/>
      <c r="X139" s="123"/>
      <c r="Y139" s="2"/>
    </row>
    <row r="140" spans="22:25">
      <c r="V140" s="122"/>
      <c r="X140" s="123"/>
      <c r="Y140" s="2"/>
    </row>
    <row r="141" spans="22:25">
      <c r="V141" s="122"/>
      <c r="X141" s="123"/>
      <c r="Y141" s="2"/>
    </row>
    <row r="142" spans="22:25">
      <c r="V142" s="122"/>
      <c r="X142" s="123"/>
      <c r="Y142" s="2"/>
    </row>
    <row r="143" spans="22:25">
      <c r="V143" s="122"/>
      <c r="X143" s="123"/>
      <c r="Y143" s="2"/>
    </row>
    <row r="144" spans="22:25">
      <c r="V144" s="122"/>
      <c r="X144" s="123"/>
      <c r="Y144" s="2"/>
    </row>
    <row r="145" spans="22:25">
      <c r="V145" s="122"/>
      <c r="X145" s="123"/>
      <c r="Y145" s="2"/>
    </row>
    <row r="146" spans="22:25">
      <c r="V146" s="122"/>
      <c r="X146" s="123"/>
      <c r="Y146" s="2"/>
    </row>
    <row r="147" spans="22:25">
      <c r="V147" s="122"/>
      <c r="X147" s="123"/>
      <c r="Y147" s="2"/>
    </row>
    <row r="148" spans="22:25">
      <c r="V148" s="122"/>
      <c r="X148" s="123"/>
      <c r="Y148" s="2"/>
    </row>
    <row r="149" spans="22:25">
      <c r="V149" s="122"/>
      <c r="X149" s="123"/>
      <c r="Y149" s="2"/>
    </row>
    <row r="150" spans="22:25">
      <c r="V150" s="122"/>
      <c r="X150" s="123"/>
      <c r="Y150" s="2"/>
    </row>
    <row r="151" spans="22:25">
      <c r="V151" s="122"/>
      <c r="X151" s="123"/>
      <c r="Y151" s="2"/>
    </row>
    <row r="152" spans="22:25">
      <c r="V152" s="122"/>
      <c r="X152" s="123"/>
      <c r="Y152" s="2"/>
    </row>
    <row r="153" spans="22:25">
      <c r="V153" s="122"/>
      <c r="X153" s="123"/>
      <c r="Y153" s="2"/>
    </row>
    <row r="154" spans="22:25">
      <c r="V154" s="122"/>
      <c r="X154" s="123"/>
      <c r="Y154" s="2"/>
    </row>
    <row r="155" spans="22:25">
      <c r="V155" s="122"/>
      <c r="X155" s="123"/>
      <c r="Y155" s="2"/>
    </row>
    <row r="156" spans="22:25">
      <c r="V156" s="122"/>
      <c r="X156" s="123"/>
      <c r="Y156" s="2"/>
    </row>
    <row r="157" spans="22:25">
      <c r="V157" s="122"/>
      <c r="X157" s="123"/>
      <c r="Y157" s="2"/>
    </row>
    <row r="158" spans="22:25">
      <c r="V158" s="122"/>
      <c r="X158" s="123"/>
      <c r="Y158" s="2"/>
    </row>
    <row r="159" spans="22:25">
      <c r="V159" s="122"/>
      <c r="X159" s="123"/>
      <c r="Y159" s="2"/>
    </row>
    <row r="160" spans="22:25">
      <c r="V160" s="122"/>
      <c r="X160" s="123"/>
      <c r="Y160" s="2"/>
    </row>
    <row r="161" spans="22:25">
      <c r="V161" s="122"/>
      <c r="X161" s="123"/>
      <c r="Y161" s="2"/>
    </row>
    <row r="162" spans="22:25">
      <c r="V162" s="122"/>
      <c r="X162" s="123"/>
      <c r="Y162" s="2"/>
    </row>
    <row r="163" spans="22:25">
      <c r="V163" s="122"/>
      <c r="X163" s="123"/>
      <c r="Y163" s="2"/>
    </row>
    <row r="164" spans="22:25">
      <c r="V164" s="122"/>
      <c r="X164" s="123"/>
      <c r="Y164" s="2"/>
    </row>
    <row r="165" spans="22:25">
      <c r="V165" s="122"/>
      <c r="X165" s="123"/>
      <c r="Y165" s="2"/>
    </row>
  </sheetData>
  <mergeCells count="5">
    <mergeCell ref="B1:J1"/>
    <mergeCell ref="K1:S1"/>
    <mergeCell ref="T1:V1"/>
    <mergeCell ref="W1:Y1"/>
    <mergeCell ref="A1:A2"/>
  </mergeCells>
  <conditionalFormatting sqref="C3">
    <cfRule type="duplicateValues" dxfId="0" priority="227"/>
  </conditionalFormatting>
  <conditionalFormatting sqref="D3">
    <cfRule type="duplicateValues" dxfId="0" priority="216"/>
  </conditionalFormatting>
  <conditionalFormatting sqref="E3">
    <cfRule type="duplicateValues" dxfId="0" priority="217"/>
  </conditionalFormatting>
  <conditionalFormatting sqref="H3">
    <cfRule type="colorScale" priority="21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:J3">
    <cfRule type="colorScale" priority="21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">
    <cfRule type="colorScale" priority="21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3">
    <cfRule type="cellIs" dxfId="1" priority="212" operator="lessThan">
      <formula>400</formula>
    </cfRule>
    <cfRule type="cellIs" dxfId="1" priority="211" operator="lessThan">
      <formula>500</formula>
    </cfRule>
  </conditionalFormatting>
  <conditionalFormatting sqref="Y3">
    <cfRule type="colorScale" priority="22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">
    <cfRule type="duplicateValues" dxfId="2" priority="85"/>
  </conditionalFormatting>
  <conditionalFormatting sqref="D4">
    <cfRule type="duplicateValues" dxfId="0" priority="84"/>
  </conditionalFormatting>
  <conditionalFormatting sqref="E4">
    <cfRule type="duplicateValues" dxfId="0" priority="95"/>
  </conditionalFormatting>
  <conditionalFormatting sqref="H4">
    <cfRule type="colorScale" priority="10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:J4">
    <cfRule type="colorScale" priority="9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">
    <cfRule type="colorScale" priority="9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4">
    <cfRule type="cellIs" dxfId="1" priority="87" operator="lessThan">
      <formula>400</formula>
    </cfRule>
    <cfRule type="cellIs" dxfId="1" priority="86" operator="lessThan">
      <formula>500</formula>
    </cfRule>
  </conditionalFormatting>
  <conditionalFormatting sqref="Y4">
    <cfRule type="colorScale" priority="10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">
    <cfRule type="duplicateValues" dxfId="2" priority="25"/>
  </conditionalFormatting>
  <conditionalFormatting sqref="D5">
    <cfRule type="duplicateValues" dxfId="0" priority="20"/>
  </conditionalFormatting>
  <conditionalFormatting sqref="E5">
    <cfRule type="duplicateValues" dxfId="0" priority="35"/>
  </conditionalFormatting>
  <conditionalFormatting sqref="H5">
    <cfRule type="colorScale" priority="3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">
    <cfRule type="colorScale" priority="2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5">
    <cfRule type="colorScale" priority="3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5">
    <cfRule type="colorScale" priority="2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5">
    <cfRule type="cellIs" dxfId="1" priority="28" operator="lessThan">
      <formula>400</formula>
    </cfRule>
    <cfRule type="cellIs" dxfId="1" priority="27" operator="lessThan">
      <formula>500</formula>
    </cfRule>
  </conditionalFormatting>
  <conditionalFormatting sqref="Y5">
    <cfRule type="colorScale" priority="34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6">
    <cfRule type="duplicateValues" dxfId="2" priority="280"/>
  </conditionalFormatting>
  <conditionalFormatting sqref="D6">
    <cfRule type="duplicateValues" dxfId="0" priority="281"/>
  </conditionalFormatting>
  <conditionalFormatting sqref="E6">
    <cfRule type="duplicateValues" dxfId="0" priority="275"/>
  </conditionalFormatting>
  <conditionalFormatting sqref="H6">
    <cfRule type="colorScale" priority="27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6">
    <cfRule type="colorScale" priority="27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6">
    <cfRule type="colorScale" priority="27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K6">
    <cfRule type="colorScale" priority="27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6">
    <cfRule type="colorScale" priority="27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6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{c47dc0e7-f9c2-4ee0-a7f2-9ff9ddd19529}</x14:id>
        </ext>
      </extLst>
    </cfRule>
  </conditionalFormatting>
  <conditionalFormatting sqref="Y6">
    <cfRule type="colorScale" priority="27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7">
    <cfRule type="duplicateValues" dxfId="2" priority="248"/>
  </conditionalFormatting>
  <conditionalFormatting sqref="D7">
    <cfRule type="duplicateValues" dxfId="0" priority="259"/>
  </conditionalFormatting>
  <conditionalFormatting sqref="E7">
    <cfRule type="duplicateValues" dxfId="0" priority="260"/>
  </conditionalFormatting>
  <conditionalFormatting sqref="H7">
    <cfRule type="colorScale" priority="25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7">
    <cfRule type="colorScale" priority="25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7">
    <cfRule type="colorScale" priority="26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N7">
    <cfRule type="colorScale" priority="25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7">
    <cfRule type="cellIs" dxfId="1" priority="254" operator="lessThan">
      <formula>400</formula>
    </cfRule>
    <cfRule type="cellIs" dxfId="1" priority="253" operator="lessThan">
      <formula>500</formula>
    </cfRule>
  </conditionalFormatting>
  <conditionalFormatting sqref="Y7">
    <cfRule type="colorScale" priority="25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8">
    <cfRule type="duplicateValues" dxfId="2" priority="233"/>
  </conditionalFormatting>
  <conditionalFormatting sqref="D8">
    <cfRule type="duplicateValues" dxfId="0" priority="242"/>
  </conditionalFormatting>
  <conditionalFormatting sqref="E8">
    <cfRule type="duplicateValues" dxfId="0" priority="243"/>
  </conditionalFormatting>
  <conditionalFormatting sqref="H8">
    <cfRule type="colorScale" priority="24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8:J8">
    <cfRule type="colorScale" priority="24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8">
    <cfRule type="colorScale" priority="24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8">
    <cfRule type="cellIs" dxfId="1" priority="239" operator="lessThan">
      <formula>400</formula>
    </cfRule>
    <cfRule type="cellIs" dxfId="1" priority="238" operator="lessThan">
      <formula>500</formula>
    </cfRule>
  </conditionalFormatting>
  <conditionalFormatting sqref="Y8">
    <cfRule type="colorScale" priority="24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9">
    <cfRule type="duplicateValues" dxfId="2" priority="104"/>
  </conditionalFormatting>
  <conditionalFormatting sqref="D9">
    <cfRule type="duplicateValues" dxfId="0" priority="107"/>
  </conditionalFormatting>
  <conditionalFormatting sqref="E9">
    <cfRule type="duplicateValues" dxfId="0" priority="114"/>
  </conditionalFormatting>
  <conditionalFormatting sqref="H9">
    <cfRule type="colorScale" priority="10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9">
    <cfRule type="colorScale" priority="12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9">
    <cfRule type="colorScale" priority="11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9">
    <cfRule type="colorScale" priority="11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9">
    <cfRule type="colorScale" priority="12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0">
    <cfRule type="duplicateValues" dxfId="2" priority="129"/>
  </conditionalFormatting>
  <conditionalFormatting sqref="D10">
    <cfRule type="duplicateValues" dxfId="0" priority="141"/>
  </conditionalFormatting>
  <conditionalFormatting sqref="E10">
    <cfRule type="duplicateValues" dxfId="0" priority="142"/>
  </conditionalFormatting>
  <conditionalFormatting sqref="I10">
    <cfRule type="colorScale" priority="13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0">
    <cfRule type="colorScale" priority="13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10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{465a3c13-0842-47b0-9a71-b2b758f374b0}</x14:id>
        </ext>
      </extLst>
    </cfRule>
  </conditionalFormatting>
  <conditionalFormatting sqref="Y10">
    <cfRule type="colorScale" priority="14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1">
    <cfRule type="duplicateValues" dxfId="2" priority="59"/>
  </conditionalFormatting>
  <conditionalFormatting sqref="D11">
    <cfRule type="duplicateValues" dxfId="0" priority="58"/>
  </conditionalFormatting>
  <conditionalFormatting sqref="E11">
    <cfRule type="duplicateValues" dxfId="0" priority="70"/>
  </conditionalFormatting>
  <conditionalFormatting sqref="H11">
    <cfRule type="colorScale" priority="6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1:J11">
    <cfRule type="colorScale" priority="7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1">
    <cfRule type="colorScale" priority="6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11">
    <cfRule type="cellIs" dxfId="1" priority="61" operator="lessThan">
      <formula>400</formula>
    </cfRule>
    <cfRule type="cellIs" dxfId="1" priority="60" operator="lessThan">
      <formula>500</formula>
    </cfRule>
  </conditionalFormatting>
  <conditionalFormatting sqref="Y11">
    <cfRule type="colorScale" priority="77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D12">
    <cfRule type="duplicateValues" dxfId="0" priority="178"/>
  </conditionalFormatting>
  <conditionalFormatting sqref="H12">
    <cfRule type="colorScale" priority="18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12">
    <cfRule type="cellIs" dxfId="1" priority="181" operator="lessThan">
      <formula>400</formula>
    </cfRule>
    <cfRule type="cellIs" dxfId="1" priority="180" operator="lessThan">
      <formula>500</formula>
    </cfRule>
  </conditionalFormatting>
  <conditionalFormatting sqref="Y12">
    <cfRule type="colorScale" priority="179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D13">
    <cfRule type="duplicateValues" dxfId="0" priority="191"/>
  </conditionalFormatting>
  <conditionalFormatting sqref="H13">
    <cfRule type="colorScale" priority="19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13">
    <cfRule type="cellIs" dxfId="1" priority="194" operator="lessThan">
      <formula>400</formula>
    </cfRule>
    <cfRule type="cellIs" dxfId="1" priority="193" operator="lessThan">
      <formula>500</formula>
    </cfRule>
  </conditionalFormatting>
  <conditionalFormatting sqref="Y13">
    <cfRule type="colorScale" priority="19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4">
    <cfRule type="duplicateValues" dxfId="2" priority="163"/>
  </conditionalFormatting>
  <conditionalFormatting sqref="D14">
    <cfRule type="duplicateValues" dxfId="0" priority="164"/>
  </conditionalFormatting>
  <conditionalFormatting sqref="E14">
    <cfRule type="duplicateValues" dxfId="0" priority="153"/>
  </conditionalFormatting>
  <conditionalFormatting sqref="I14">
    <cfRule type="colorScale" priority="16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4">
    <cfRule type="colorScale" priority="16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V14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{c7f5ef76-6ae9-4796-b9e8-e431cba72451}</x14:id>
        </ext>
      </extLst>
    </cfRule>
  </conditionalFormatting>
  <conditionalFormatting sqref="Y14">
    <cfRule type="colorScale" priority="15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2:C13">
    <cfRule type="duplicateValues" dxfId="2" priority="173"/>
  </conditionalFormatting>
  <conditionalFormatting sqref="V166:V1048576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{a9579339-286a-44c3-9c17-79051c958a9f}</x14:id>
        </ext>
      </extLst>
    </cfRule>
  </conditionalFormatting>
  <conditionalFormatting sqref="V1:V2 V166:V1048576">
    <cfRule type="cellIs" dxfId="1" priority="295" operator="lessThan">
      <formula>400</formula>
    </cfRule>
  </conditionalFormatting>
  <conditionalFormatting sqref="L7 O7:R7">
    <cfRule type="colorScale" priority="26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H10 L10 N10:R10">
    <cfRule type="colorScale" priority="13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H14 L14 N14:R14">
    <cfRule type="colorScale" priority="15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X19:X165 Y166:Y1048576">
    <cfRule type="colorScale" priority="30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7dc0e7-f9c2-4ee0-a7f2-9ff9ddd195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V6</xm:sqref>
        </x14:conditionalFormatting>
        <x14:conditionalFormatting xmlns:xm="http://schemas.microsoft.com/office/excel/2006/main">
          <x14:cfRule type="dataBar" id="{465a3c13-0842-47b0-9a71-b2b758f374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V10</xm:sqref>
        </x14:conditionalFormatting>
        <x14:conditionalFormatting xmlns:xm="http://schemas.microsoft.com/office/excel/2006/main">
          <x14:cfRule type="dataBar" id="{c7f5ef76-6ae9-4796-b9e8-e431cba72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a9579339-286a-44c3-9c17-79051c958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V166:V1048576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3"/>
  <sheetViews>
    <sheetView topLeftCell="A7" workbookViewId="0">
      <selection activeCell="X1" sqref="X$1:X$1048576"/>
    </sheetView>
  </sheetViews>
  <sheetFormatPr defaultColWidth="8.88888888888889" defaultRowHeight="61.5" customHeight="1"/>
  <cols>
    <col min="1" max="2" width="8.88888888888889" style="83"/>
    <col min="3" max="3" width="6.91666666666667" style="85" customWidth="1"/>
    <col min="4" max="4" width="15.25" style="86" customWidth="1"/>
    <col min="5" max="5" width="12.4166666666667" style="86" customWidth="1"/>
    <col min="6" max="6" width="8.83333333333333" style="86" customWidth="1"/>
    <col min="7" max="7" width="10.6666666666667" style="83" customWidth="1"/>
    <col min="8" max="8" width="10.5833333333333" style="83" customWidth="1"/>
    <col min="9" max="9" width="25.2222222222222" style="83" customWidth="1"/>
    <col min="10" max="10" width="16.2777777777778" style="83" customWidth="1"/>
    <col min="11" max="11" width="16.4444444444444" style="83" customWidth="1"/>
    <col min="12" max="12" width="15.2962962962963" style="83" customWidth="1"/>
    <col min="13" max="13" width="13.3240740740741" style="83" customWidth="1"/>
    <col min="14" max="14" width="8.88888888888889" style="83" customWidth="1"/>
    <col min="15" max="15" width="33.6666666666667" style="83" customWidth="1"/>
    <col min="16" max="16" width="12.8888888888889" style="83" customWidth="1"/>
    <col min="17" max="17" width="17.8888888888889" style="83" customWidth="1"/>
    <col min="18" max="18" width="16.5555555555556" style="83" customWidth="1"/>
    <col min="19" max="19" width="17.1111111111111" style="83" customWidth="1"/>
    <col min="20" max="20" width="14.6666666666667" style="83" customWidth="1"/>
    <col min="21" max="21" width="15.1111111111111" style="83" customWidth="1"/>
    <col min="22" max="22" width="15.4444444444444" style="83" customWidth="1"/>
    <col min="23" max="23" width="12.4444444444444" style="83"/>
    <col min="24" max="16384" width="8.88888888888889" style="83"/>
  </cols>
  <sheetData>
    <row r="1" s="81" customFormat="1" ht="36" customHeight="1" spans="1:23">
      <c r="A1" s="87" t="s">
        <v>0</v>
      </c>
      <c r="B1" s="88" t="s">
        <v>133</v>
      </c>
      <c r="C1" s="89"/>
      <c r="D1" s="90"/>
      <c r="E1" s="90"/>
      <c r="F1" s="90"/>
      <c r="G1" s="88"/>
      <c r="H1" s="88"/>
      <c r="I1" s="88" t="s">
        <v>1</v>
      </c>
      <c r="J1" s="88"/>
      <c r="K1" s="88"/>
      <c r="L1" s="88"/>
      <c r="M1" s="88"/>
      <c r="N1" s="88"/>
      <c r="O1" s="88"/>
      <c r="P1" s="88"/>
      <c r="Q1" s="88"/>
      <c r="R1" s="88" t="s">
        <v>2</v>
      </c>
      <c r="S1" s="88"/>
      <c r="T1" s="88"/>
      <c r="U1" s="91" t="s">
        <v>3</v>
      </c>
      <c r="V1" s="91"/>
      <c r="W1" s="91"/>
    </row>
    <row r="2" s="81" customFormat="1" ht="38" customHeight="1" spans="1:23">
      <c r="A2" s="87"/>
      <c r="B2" s="87" t="s">
        <v>4</v>
      </c>
      <c r="C2" s="92" t="s">
        <v>5</v>
      </c>
      <c r="D2" s="93" t="s">
        <v>6</v>
      </c>
      <c r="E2" s="94" t="s">
        <v>7</v>
      </c>
      <c r="F2" s="94" t="s">
        <v>8</v>
      </c>
      <c r="G2" s="87" t="s">
        <v>10</v>
      </c>
      <c r="H2" s="87" t="s">
        <v>12</v>
      </c>
      <c r="I2" s="87" t="s">
        <v>13</v>
      </c>
      <c r="J2" s="87" t="s">
        <v>14</v>
      </c>
      <c r="K2" s="87" t="s">
        <v>15</v>
      </c>
      <c r="L2" s="87" t="s">
        <v>16</v>
      </c>
      <c r="M2" s="87" t="s">
        <v>17</v>
      </c>
      <c r="N2" s="87" t="s">
        <v>18</v>
      </c>
      <c r="O2" s="87" t="s">
        <v>19</v>
      </c>
      <c r="P2" s="87" t="s">
        <v>20</v>
      </c>
      <c r="Q2" s="87" t="s">
        <v>15</v>
      </c>
      <c r="R2" s="87" t="s">
        <v>21</v>
      </c>
      <c r="S2" s="95" t="s">
        <v>22</v>
      </c>
      <c r="T2" s="87" t="s">
        <v>23</v>
      </c>
      <c r="U2" s="95" t="s">
        <v>24</v>
      </c>
      <c r="V2" s="87" t="s">
        <v>25</v>
      </c>
      <c r="W2" s="87" t="s">
        <v>26</v>
      </c>
    </row>
    <row r="3" s="82" customFormat="1" ht="19" customHeight="1" spans="1:23">
      <c r="A3" s="96">
        <f t="shared" ref="A3:A40" si="0">ROW()-2</f>
        <v>1</v>
      </c>
      <c r="B3" s="70">
        <f t="shared" ref="B3:B40" si="1">ROW()-2</f>
        <v>1</v>
      </c>
      <c r="C3" s="97" t="s">
        <v>134</v>
      </c>
      <c r="D3" s="67" t="s">
        <v>135</v>
      </c>
      <c r="E3" s="67">
        <v>37158</v>
      </c>
      <c r="F3" s="98" t="s">
        <v>116</v>
      </c>
      <c r="G3" s="82">
        <f ca="1">DATEDIF(TEXT(MID(I3,7,8),"0-00-00"),TODAY(),"y")</f>
        <v>36</v>
      </c>
      <c r="H3" s="72" t="s">
        <v>32</v>
      </c>
      <c r="I3" s="152" t="s">
        <v>136</v>
      </c>
      <c r="J3" s="72" t="str">
        <f>MID(I3,7,8)</f>
        <v>19890526</v>
      </c>
      <c r="K3" s="70">
        <v>18639066462</v>
      </c>
      <c r="L3" s="72" t="s">
        <v>118</v>
      </c>
      <c r="M3" s="100" t="s">
        <v>137</v>
      </c>
      <c r="N3" s="100" t="s">
        <v>138</v>
      </c>
      <c r="O3" s="100" t="s">
        <v>139</v>
      </c>
      <c r="P3" s="100" t="s">
        <v>140</v>
      </c>
      <c r="Q3" s="101">
        <v>15136521545</v>
      </c>
      <c r="R3" s="102" t="s">
        <v>141</v>
      </c>
      <c r="S3" s="103">
        <v>48787</v>
      </c>
      <c r="T3" s="72">
        <f ca="1">S3-TODAY()</f>
        <v>2697</v>
      </c>
      <c r="U3" s="104">
        <v>45559</v>
      </c>
      <c r="V3" s="104">
        <v>45560</v>
      </c>
      <c r="W3" s="72">
        <f ca="1" t="shared" ref="W3:W17" si="2">TODAY()-V3</f>
        <v>530</v>
      </c>
    </row>
    <row r="4" s="83" customFormat="1" ht="19" customHeight="1" spans="1:23">
      <c r="A4" s="96">
        <f t="shared" si="0"/>
        <v>2</v>
      </c>
      <c r="B4" s="70">
        <f t="shared" si="1"/>
        <v>2</v>
      </c>
      <c r="C4" s="97" t="s">
        <v>142</v>
      </c>
      <c r="D4" s="67" t="s">
        <v>143</v>
      </c>
      <c r="E4" s="67">
        <v>70996</v>
      </c>
      <c r="F4" s="98" t="s">
        <v>144</v>
      </c>
      <c r="G4" s="82">
        <v>49</v>
      </c>
      <c r="H4" s="72" t="s">
        <v>32</v>
      </c>
      <c r="I4" s="105" t="s">
        <v>145</v>
      </c>
      <c r="J4" s="72">
        <v>19760123</v>
      </c>
      <c r="K4" s="70">
        <v>16639729407</v>
      </c>
      <c r="L4" s="72" t="s">
        <v>118</v>
      </c>
      <c r="M4" s="100" t="s">
        <v>146</v>
      </c>
      <c r="N4" s="100" t="s">
        <v>147</v>
      </c>
      <c r="O4" s="100" t="s">
        <v>148</v>
      </c>
      <c r="P4" s="100" t="s">
        <v>149</v>
      </c>
      <c r="Q4" s="106">
        <v>13683963360</v>
      </c>
      <c r="R4" s="102" t="s">
        <v>150</v>
      </c>
      <c r="S4" s="103">
        <v>47467</v>
      </c>
      <c r="T4" s="72">
        <f ca="1">S4-TODAY()</f>
        <v>1377</v>
      </c>
      <c r="U4" s="104">
        <v>45694</v>
      </c>
      <c r="V4" s="104">
        <v>45695</v>
      </c>
      <c r="W4" s="72">
        <f ca="1" t="shared" si="2"/>
        <v>395</v>
      </c>
    </row>
    <row r="5" s="84" customFormat="1" ht="19" customHeight="1" spans="1:23">
      <c r="A5" s="96">
        <f t="shared" si="0"/>
        <v>3</v>
      </c>
      <c r="B5" s="70">
        <f t="shared" si="1"/>
        <v>3</v>
      </c>
      <c r="C5" s="97" t="s">
        <v>151</v>
      </c>
      <c r="D5" s="67" t="s">
        <v>152</v>
      </c>
      <c r="E5" s="107">
        <v>45502</v>
      </c>
      <c r="F5" s="107" t="s">
        <v>153</v>
      </c>
      <c r="G5" s="82">
        <f ca="1">DATEDIF(TEXT(MID(I5,7,8),"0-00-00"),TODAY(),"y")</f>
        <v>49</v>
      </c>
      <c r="H5" s="72" t="s">
        <v>32</v>
      </c>
      <c r="I5" s="108" t="s">
        <v>154</v>
      </c>
      <c r="J5" s="72">
        <v>19761112</v>
      </c>
      <c r="K5" s="108">
        <v>15951433870</v>
      </c>
      <c r="L5" s="109" t="s">
        <v>155</v>
      </c>
      <c r="M5" s="109" t="s">
        <v>156</v>
      </c>
      <c r="N5" s="109" t="s">
        <v>157</v>
      </c>
      <c r="O5" s="109" t="s">
        <v>158</v>
      </c>
      <c r="P5" s="109" t="s">
        <v>159</v>
      </c>
      <c r="Q5" s="101">
        <v>15951433870</v>
      </c>
      <c r="R5" s="102" t="s">
        <v>160</v>
      </c>
      <c r="S5" s="110">
        <v>47132</v>
      </c>
      <c r="T5" s="72">
        <f ca="1">S5-TODAY()</f>
        <v>1042</v>
      </c>
      <c r="U5" s="104">
        <v>45700</v>
      </c>
      <c r="V5" s="104">
        <v>45701</v>
      </c>
      <c r="W5" s="72">
        <f ca="1" t="shared" si="2"/>
        <v>389</v>
      </c>
    </row>
    <row r="6" s="83" customFormat="1" ht="19" customHeight="1" spans="1:23">
      <c r="A6" s="96">
        <f t="shared" si="0"/>
        <v>4</v>
      </c>
      <c r="B6" s="70">
        <f t="shared" si="1"/>
        <v>4</v>
      </c>
      <c r="C6" s="97" t="s">
        <v>161</v>
      </c>
      <c r="D6" s="67" t="s">
        <v>162</v>
      </c>
      <c r="E6" s="67">
        <v>71697</v>
      </c>
      <c r="F6" s="98" t="s">
        <v>126</v>
      </c>
      <c r="G6" s="82">
        <v>58</v>
      </c>
      <c r="H6" s="72" t="s">
        <v>32</v>
      </c>
      <c r="I6" s="111" t="s">
        <v>163</v>
      </c>
      <c r="J6" s="72">
        <v>19671001</v>
      </c>
      <c r="K6" s="70">
        <v>18118233879</v>
      </c>
      <c r="L6" s="72" t="s">
        <v>155</v>
      </c>
      <c r="M6" s="100" t="s">
        <v>164</v>
      </c>
      <c r="N6" s="100" t="s">
        <v>165</v>
      </c>
      <c r="O6" s="100" t="s">
        <v>166</v>
      </c>
      <c r="P6" s="100" t="s">
        <v>167</v>
      </c>
      <c r="Q6" s="106">
        <v>13951160917</v>
      </c>
      <c r="R6" s="102" t="s">
        <v>168</v>
      </c>
      <c r="S6" s="103">
        <v>49073</v>
      </c>
      <c r="T6" s="72">
        <v>3337</v>
      </c>
      <c r="U6" s="104">
        <v>45732</v>
      </c>
      <c r="V6" s="104">
        <v>45733</v>
      </c>
      <c r="W6" s="72">
        <f ca="1" t="shared" si="2"/>
        <v>357</v>
      </c>
    </row>
    <row r="7" s="83" customFormat="1" ht="19" customHeight="1" spans="1:23">
      <c r="A7" s="96">
        <f t="shared" si="0"/>
        <v>5</v>
      </c>
      <c r="B7" s="70">
        <f t="shared" si="1"/>
        <v>5</v>
      </c>
      <c r="C7" s="97" t="s">
        <v>169</v>
      </c>
      <c r="D7" s="67" t="s">
        <v>170</v>
      </c>
      <c r="E7" s="67">
        <v>71706</v>
      </c>
      <c r="F7" s="98" t="s">
        <v>171</v>
      </c>
      <c r="G7" s="82">
        <v>56</v>
      </c>
      <c r="H7" s="72" t="s">
        <v>32</v>
      </c>
      <c r="I7" s="111" t="s">
        <v>172</v>
      </c>
      <c r="J7" s="72">
        <v>19690306</v>
      </c>
      <c r="K7" s="70">
        <v>18118233883</v>
      </c>
      <c r="L7" s="72" t="s">
        <v>155</v>
      </c>
      <c r="M7" s="100" t="s">
        <v>164</v>
      </c>
      <c r="N7" s="100" t="s">
        <v>165</v>
      </c>
      <c r="O7" s="100" t="s">
        <v>173</v>
      </c>
      <c r="P7" s="100" t="s">
        <v>174</v>
      </c>
      <c r="Q7" s="106">
        <v>18086762546</v>
      </c>
      <c r="R7" s="102" t="s">
        <v>175</v>
      </c>
      <c r="S7" s="103">
        <v>49016</v>
      </c>
      <c r="T7" s="72">
        <v>3280</v>
      </c>
      <c r="U7" s="104">
        <v>45732</v>
      </c>
      <c r="V7" s="104">
        <v>45733</v>
      </c>
      <c r="W7" s="72">
        <f ca="1" t="shared" si="2"/>
        <v>357</v>
      </c>
    </row>
    <row r="8" s="83" customFormat="1" ht="19" customHeight="1" spans="1:23">
      <c r="A8" s="96">
        <f t="shared" si="0"/>
        <v>6</v>
      </c>
      <c r="B8" s="70">
        <f t="shared" si="1"/>
        <v>6</v>
      </c>
      <c r="C8" s="112" t="s">
        <v>176</v>
      </c>
      <c r="D8" s="67" t="s">
        <v>177</v>
      </c>
      <c r="E8" s="67">
        <v>71707</v>
      </c>
      <c r="F8" s="98" t="s">
        <v>171</v>
      </c>
      <c r="G8" s="82">
        <v>57</v>
      </c>
      <c r="H8" s="72" t="s">
        <v>32</v>
      </c>
      <c r="I8" s="111" t="s">
        <v>178</v>
      </c>
      <c r="J8" s="72">
        <v>19680219</v>
      </c>
      <c r="K8" s="70">
        <v>13327837353</v>
      </c>
      <c r="L8" s="72" t="s">
        <v>155</v>
      </c>
      <c r="M8" s="100" t="s">
        <v>164</v>
      </c>
      <c r="N8" s="100" t="s">
        <v>165</v>
      </c>
      <c r="O8" s="100" t="s">
        <v>179</v>
      </c>
      <c r="P8" s="100" t="s">
        <v>180</v>
      </c>
      <c r="Q8" s="106">
        <v>13382062022</v>
      </c>
      <c r="R8" s="102" t="s">
        <v>181</v>
      </c>
      <c r="S8" s="103">
        <v>47818</v>
      </c>
      <c r="T8" s="72">
        <v>2082</v>
      </c>
      <c r="U8" s="104">
        <v>45732</v>
      </c>
      <c r="V8" s="104">
        <v>45733</v>
      </c>
      <c r="W8" s="72">
        <f ca="1" t="shared" si="2"/>
        <v>357</v>
      </c>
    </row>
    <row r="9" s="83" customFormat="1" ht="19" customHeight="1" spans="1:23">
      <c r="A9" s="96">
        <f t="shared" si="0"/>
        <v>7</v>
      </c>
      <c r="B9" s="70">
        <f t="shared" si="1"/>
        <v>7</v>
      </c>
      <c r="C9" s="97" t="s">
        <v>182</v>
      </c>
      <c r="D9" s="67" t="s">
        <v>183</v>
      </c>
      <c r="E9" s="67">
        <v>71709</v>
      </c>
      <c r="F9" s="98" t="s">
        <v>184</v>
      </c>
      <c r="G9" s="82">
        <v>51</v>
      </c>
      <c r="H9" s="72" t="s">
        <v>32</v>
      </c>
      <c r="I9" s="111" t="s">
        <v>185</v>
      </c>
      <c r="J9" s="72">
        <v>19740928</v>
      </c>
      <c r="K9" s="70">
        <v>13814696911</v>
      </c>
      <c r="L9" s="72" t="s">
        <v>155</v>
      </c>
      <c r="M9" s="100" t="s">
        <v>186</v>
      </c>
      <c r="N9" s="100" t="s">
        <v>187</v>
      </c>
      <c r="O9" s="100" t="s">
        <v>188</v>
      </c>
      <c r="P9" s="100" t="s">
        <v>189</v>
      </c>
      <c r="Q9" s="106">
        <v>13706281761</v>
      </c>
      <c r="R9" s="102" t="s">
        <v>190</v>
      </c>
      <c r="S9" s="103">
        <v>47098</v>
      </c>
      <c r="T9" s="72">
        <v>1362</v>
      </c>
      <c r="U9" s="104">
        <v>45732</v>
      </c>
      <c r="V9" s="104">
        <v>45733</v>
      </c>
      <c r="W9" s="72">
        <f ca="1" t="shared" si="2"/>
        <v>357</v>
      </c>
    </row>
    <row r="10" s="83" customFormat="1" ht="19" customHeight="1" spans="1:23">
      <c r="A10" s="96">
        <f t="shared" si="0"/>
        <v>8</v>
      </c>
      <c r="B10" s="70">
        <f t="shared" si="1"/>
        <v>8</v>
      </c>
      <c r="C10" s="97" t="s">
        <v>191</v>
      </c>
      <c r="D10" s="67" t="s">
        <v>192</v>
      </c>
      <c r="E10" s="67">
        <v>71977</v>
      </c>
      <c r="F10" s="98" t="s">
        <v>193</v>
      </c>
      <c r="G10" s="82">
        <v>44</v>
      </c>
      <c r="H10" s="72" t="s">
        <v>32</v>
      </c>
      <c r="I10" s="111" t="s">
        <v>194</v>
      </c>
      <c r="J10" s="72">
        <v>19811010</v>
      </c>
      <c r="K10" s="70">
        <v>13004440184</v>
      </c>
      <c r="L10" s="72" t="s">
        <v>155</v>
      </c>
      <c r="M10" s="100" t="s">
        <v>195</v>
      </c>
      <c r="N10" s="100" t="s">
        <v>196</v>
      </c>
      <c r="O10" s="100" t="s">
        <v>197</v>
      </c>
      <c r="P10" s="100" t="s">
        <v>198</v>
      </c>
      <c r="Q10" s="70">
        <v>13004440184</v>
      </c>
      <c r="R10" s="102" t="s">
        <v>199</v>
      </c>
      <c r="S10" s="103">
        <v>49183</v>
      </c>
      <c r="T10" s="72">
        <v>3420</v>
      </c>
      <c r="U10" s="104">
        <v>45755</v>
      </c>
      <c r="V10" s="104">
        <v>45756</v>
      </c>
      <c r="W10" s="72">
        <f ca="1" t="shared" si="2"/>
        <v>334</v>
      </c>
    </row>
    <row r="11" s="83" customFormat="1" ht="19" customHeight="1" spans="1:23">
      <c r="A11" s="96">
        <f t="shared" si="0"/>
        <v>9</v>
      </c>
      <c r="B11" s="70">
        <f t="shared" si="1"/>
        <v>9</v>
      </c>
      <c r="C11" s="97" t="s">
        <v>200</v>
      </c>
      <c r="D11" s="67" t="s">
        <v>201</v>
      </c>
      <c r="E11" s="67">
        <v>71978</v>
      </c>
      <c r="F11" s="98" t="s">
        <v>171</v>
      </c>
      <c r="G11" s="82">
        <v>48</v>
      </c>
      <c r="H11" s="72" t="s">
        <v>32</v>
      </c>
      <c r="I11" s="111" t="s">
        <v>202</v>
      </c>
      <c r="J11" s="72">
        <v>19771209</v>
      </c>
      <c r="K11" s="70">
        <v>15286918561</v>
      </c>
      <c r="L11" s="72" t="s">
        <v>118</v>
      </c>
      <c r="M11" s="100" t="s">
        <v>203</v>
      </c>
      <c r="N11" s="100" t="s">
        <v>204</v>
      </c>
      <c r="O11" s="100" t="s">
        <v>205</v>
      </c>
      <c r="P11" s="100" t="s">
        <v>206</v>
      </c>
      <c r="Q11" s="70">
        <v>13525626403</v>
      </c>
      <c r="R11" s="102" t="s">
        <v>207</v>
      </c>
      <c r="S11" s="103">
        <v>49119</v>
      </c>
      <c r="T11" s="72">
        <v>3356</v>
      </c>
      <c r="U11" s="104">
        <v>45755</v>
      </c>
      <c r="V11" s="104">
        <v>45756</v>
      </c>
      <c r="W11" s="72">
        <f ca="1" t="shared" si="2"/>
        <v>334</v>
      </c>
    </row>
    <row r="12" s="83" customFormat="1" ht="19" customHeight="1" spans="1:23">
      <c r="A12" s="96">
        <f t="shared" si="0"/>
        <v>10</v>
      </c>
      <c r="B12" s="70">
        <f t="shared" si="1"/>
        <v>10</v>
      </c>
      <c r="C12" s="97" t="s">
        <v>208</v>
      </c>
      <c r="D12" s="67" t="s">
        <v>209</v>
      </c>
      <c r="E12" s="67">
        <v>71979</v>
      </c>
      <c r="F12" s="98" t="s">
        <v>171</v>
      </c>
      <c r="G12" s="82">
        <v>54</v>
      </c>
      <c r="H12" s="72" t="s">
        <v>32</v>
      </c>
      <c r="I12" s="111" t="s">
        <v>210</v>
      </c>
      <c r="J12" s="72">
        <v>19710409</v>
      </c>
      <c r="K12" s="70">
        <v>15365533919</v>
      </c>
      <c r="L12" s="72" t="s">
        <v>155</v>
      </c>
      <c r="M12" s="100" t="s">
        <v>211</v>
      </c>
      <c r="N12" s="100" t="s">
        <v>212</v>
      </c>
      <c r="O12" s="100" t="s">
        <v>213</v>
      </c>
      <c r="P12" s="100" t="s">
        <v>214</v>
      </c>
      <c r="Q12" s="70">
        <v>15366353919</v>
      </c>
      <c r="R12" s="102" t="s">
        <v>215</v>
      </c>
      <c r="S12" s="103">
        <v>46826</v>
      </c>
      <c r="T12" s="72">
        <v>1063</v>
      </c>
      <c r="U12" s="104">
        <v>45755</v>
      </c>
      <c r="V12" s="104">
        <v>45756</v>
      </c>
      <c r="W12" s="72">
        <f ca="1" t="shared" si="2"/>
        <v>334</v>
      </c>
    </row>
    <row r="13" s="83" customFormat="1" ht="19" customHeight="1" spans="1:23">
      <c r="A13" s="96">
        <f t="shared" si="0"/>
        <v>11</v>
      </c>
      <c r="B13" s="70">
        <f t="shared" si="1"/>
        <v>11</v>
      </c>
      <c r="C13" s="97" t="s">
        <v>216</v>
      </c>
      <c r="D13" s="67" t="s">
        <v>217</v>
      </c>
      <c r="E13" s="67">
        <v>72051</v>
      </c>
      <c r="F13" s="98" t="s">
        <v>218</v>
      </c>
      <c r="G13" s="82">
        <v>43</v>
      </c>
      <c r="H13" s="72" t="s">
        <v>32</v>
      </c>
      <c r="I13" s="111" t="s">
        <v>219</v>
      </c>
      <c r="J13" s="72">
        <v>19821122</v>
      </c>
      <c r="K13" s="70">
        <v>15189884568</v>
      </c>
      <c r="L13" s="72" t="s">
        <v>155</v>
      </c>
      <c r="M13" s="100" t="s">
        <v>220</v>
      </c>
      <c r="N13" s="100" t="s">
        <v>221</v>
      </c>
      <c r="O13" s="100" t="s">
        <v>222</v>
      </c>
      <c r="P13" s="100" t="s">
        <v>223</v>
      </c>
      <c r="Q13" s="70">
        <v>15189884568</v>
      </c>
      <c r="R13" s="102" t="s">
        <v>224</v>
      </c>
      <c r="S13" s="103">
        <v>48050</v>
      </c>
      <c r="T13" s="72">
        <v>2287</v>
      </c>
      <c r="U13" s="104">
        <v>45761</v>
      </c>
      <c r="V13" s="104">
        <v>45762</v>
      </c>
      <c r="W13" s="72">
        <f ca="1" t="shared" si="2"/>
        <v>328</v>
      </c>
    </row>
    <row r="14" s="83" customFormat="1" ht="19" customHeight="1" spans="1:23">
      <c r="A14" s="96">
        <f t="shared" si="0"/>
        <v>12</v>
      </c>
      <c r="B14" s="70">
        <f t="shared" si="1"/>
        <v>12</v>
      </c>
      <c r="C14" s="97" t="s">
        <v>225</v>
      </c>
      <c r="D14" s="67" t="s">
        <v>226</v>
      </c>
      <c r="E14" s="67">
        <v>72052</v>
      </c>
      <c r="F14" s="98" t="s">
        <v>153</v>
      </c>
      <c r="G14" s="82">
        <v>50</v>
      </c>
      <c r="H14" s="72" t="s">
        <v>32</v>
      </c>
      <c r="I14" s="111" t="s">
        <v>227</v>
      </c>
      <c r="J14" s="72">
        <v>19751011</v>
      </c>
      <c r="K14" s="70">
        <v>13405560548</v>
      </c>
      <c r="L14" s="72" t="s">
        <v>155</v>
      </c>
      <c r="M14" s="100" t="s">
        <v>228</v>
      </c>
      <c r="N14" s="100" t="s">
        <v>229</v>
      </c>
      <c r="O14" s="100" t="s">
        <v>230</v>
      </c>
      <c r="P14" s="100" t="s">
        <v>231</v>
      </c>
      <c r="Q14" s="70">
        <v>13405560548</v>
      </c>
      <c r="R14" s="102" t="s">
        <v>232</v>
      </c>
      <c r="S14" s="103">
        <v>46817</v>
      </c>
      <c r="T14" s="72">
        <v>1054</v>
      </c>
      <c r="U14" s="104">
        <v>45761</v>
      </c>
      <c r="V14" s="104">
        <v>45762</v>
      </c>
      <c r="W14" s="72">
        <f ca="1" t="shared" si="2"/>
        <v>328</v>
      </c>
    </row>
    <row r="15" s="83" customFormat="1" ht="19" customHeight="1" spans="1:23">
      <c r="A15" s="96">
        <f t="shared" si="0"/>
        <v>13</v>
      </c>
      <c r="B15" s="70">
        <f t="shared" si="1"/>
        <v>13</v>
      </c>
      <c r="C15" s="97" t="s">
        <v>233</v>
      </c>
      <c r="D15" s="113" t="s">
        <v>234</v>
      </c>
      <c r="E15" s="114">
        <v>72335</v>
      </c>
      <c r="F15" s="98" t="s">
        <v>171</v>
      </c>
      <c r="G15" s="82">
        <v>47</v>
      </c>
      <c r="H15" s="72" t="s">
        <v>32</v>
      </c>
      <c r="I15" s="111" t="s">
        <v>235</v>
      </c>
      <c r="J15" s="72">
        <v>19780518</v>
      </c>
      <c r="K15" s="70">
        <v>18812458708</v>
      </c>
      <c r="L15" s="72" t="s">
        <v>118</v>
      </c>
      <c r="M15" s="100" t="s">
        <v>236</v>
      </c>
      <c r="N15" s="100" t="s">
        <v>237</v>
      </c>
      <c r="O15" s="100" t="s">
        <v>238</v>
      </c>
      <c r="P15" s="100" t="s">
        <v>239</v>
      </c>
      <c r="Q15" s="70">
        <v>13373748727</v>
      </c>
      <c r="R15" s="108" t="s">
        <v>240</v>
      </c>
      <c r="S15" s="103">
        <v>49083</v>
      </c>
      <c r="T15" s="72">
        <f ca="1" t="shared" ref="T15:T17" si="3">S15-TODAY()</f>
        <v>2993</v>
      </c>
      <c r="U15" s="104">
        <v>45784</v>
      </c>
      <c r="V15" s="104">
        <v>45785</v>
      </c>
      <c r="W15" s="72">
        <f ca="1" t="shared" si="2"/>
        <v>305</v>
      </c>
    </row>
    <row r="16" s="83" customFormat="1" ht="19" customHeight="1" spans="1:23">
      <c r="A16" s="96">
        <f t="shared" si="0"/>
        <v>14</v>
      </c>
      <c r="B16" s="70">
        <f t="shared" si="1"/>
        <v>14</v>
      </c>
      <c r="C16" s="97" t="s">
        <v>241</v>
      </c>
      <c r="D16" s="113" t="s">
        <v>242</v>
      </c>
      <c r="E16" s="114">
        <v>72334</v>
      </c>
      <c r="F16" s="98" t="s">
        <v>171</v>
      </c>
      <c r="G16" s="82">
        <v>49</v>
      </c>
      <c r="H16" s="72" t="s">
        <v>32</v>
      </c>
      <c r="I16" s="111" t="s">
        <v>243</v>
      </c>
      <c r="J16" s="72">
        <v>19761120</v>
      </c>
      <c r="K16" s="70">
        <v>18168304051</v>
      </c>
      <c r="L16" s="72" t="s">
        <v>155</v>
      </c>
      <c r="M16" s="100" t="s">
        <v>164</v>
      </c>
      <c r="N16" s="100" t="s">
        <v>165</v>
      </c>
      <c r="O16" s="100" t="s">
        <v>244</v>
      </c>
      <c r="P16" s="100" t="s">
        <v>245</v>
      </c>
      <c r="Q16" s="70">
        <v>18168302494</v>
      </c>
      <c r="R16" s="108" t="s">
        <v>246</v>
      </c>
      <c r="S16" s="103">
        <v>46812</v>
      </c>
      <c r="T16" s="72">
        <f ca="1" t="shared" si="3"/>
        <v>722</v>
      </c>
      <c r="U16" s="104">
        <v>45784</v>
      </c>
      <c r="V16" s="104">
        <v>45785</v>
      </c>
      <c r="W16" s="72">
        <f ca="1" t="shared" si="2"/>
        <v>305</v>
      </c>
    </row>
    <row r="17" s="83" customFormat="1" ht="19" customHeight="1" spans="1:23">
      <c r="A17" s="96">
        <f t="shared" si="0"/>
        <v>15</v>
      </c>
      <c r="B17" s="70">
        <f t="shared" si="1"/>
        <v>15</v>
      </c>
      <c r="C17" s="97" t="s">
        <v>247</v>
      </c>
      <c r="D17" s="113" t="s">
        <v>248</v>
      </c>
      <c r="E17" s="114">
        <v>72336</v>
      </c>
      <c r="F17" s="98" t="s">
        <v>171</v>
      </c>
      <c r="G17" s="82">
        <v>41</v>
      </c>
      <c r="H17" s="72" t="s">
        <v>32</v>
      </c>
      <c r="I17" s="111" t="s">
        <v>249</v>
      </c>
      <c r="J17" s="72">
        <v>19841103</v>
      </c>
      <c r="K17" s="70">
        <v>13773331764</v>
      </c>
      <c r="L17" s="72" t="s">
        <v>155</v>
      </c>
      <c r="M17" s="100" t="s">
        <v>156</v>
      </c>
      <c r="N17" s="100" t="s">
        <v>250</v>
      </c>
      <c r="O17" s="100" t="s">
        <v>251</v>
      </c>
      <c r="P17" s="100" t="s">
        <v>252</v>
      </c>
      <c r="Q17" s="70">
        <v>14752798363</v>
      </c>
      <c r="R17" s="108" t="s">
        <v>253</v>
      </c>
      <c r="S17" s="103">
        <v>46550</v>
      </c>
      <c r="T17" s="72">
        <f ca="1" t="shared" si="3"/>
        <v>460</v>
      </c>
      <c r="U17" s="104">
        <v>45784</v>
      </c>
      <c r="V17" s="104">
        <v>45785</v>
      </c>
      <c r="W17" s="72">
        <f ca="1" t="shared" si="2"/>
        <v>305</v>
      </c>
    </row>
    <row r="18" s="82" customFormat="1" ht="19" customHeight="1" spans="1:23">
      <c r="A18" s="96">
        <f t="shared" si="0"/>
        <v>16</v>
      </c>
      <c r="B18" s="70">
        <f t="shared" si="1"/>
        <v>16</v>
      </c>
      <c r="C18" s="97" t="s">
        <v>254</v>
      </c>
      <c r="D18" s="67" t="s">
        <v>255</v>
      </c>
      <c r="E18" s="67">
        <v>5806</v>
      </c>
      <c r="F18" s="98" t="s">
        <v>256</v>
      </c>
      <c r="G18" s="82">
        <v>32</v>
      </c>
      <c r="H18" s="72" t="s">
        <v>32</v>
      </c>
      <c r="I18" s="111" t="s">
        <v>257</v>
      </c>
      <c r="J18" s="72">
        <v>19921126</v>
      </c>
      <c r="K18" s="70">
        <v>18252527643</v>
      </c>
      <c r="L18" s="72" t="s">
        <v>155</v>
      </c>
      <c r="M18" s="100" t="s">
        <v>164</v>
      </c>
      <c r="N18" s="100" t="s">
        <v>165</v>
      </c>
      <c r="O18" s="100" t="s">
        <v>258</v>
      </c>
      <c r="P18" s="100" t="s">
        <v>259</v>
      </c>
      <c r="Q18" s="101">
        <v>13773371401</v>
      </c>
      <c r="R18" s="102" t="s">
        <v>260</v>
      </c>
      <c r="S18" s="103">
        <v>46320</v>
      </c>
      <c r="T18" s="72">
        <v>490</v>
      </c>
      <c r="U18" s="104">
        <v>45625</v>
      </c>
      <c r="V18" s="104">
        <v>45626</v>
      </c>
      <c r="W18" s="72">
        <v>204</v>
      </c>
    </row>
    <row r="19" s="83" customFormat="1" ht="19" customHeight="1" spans="1:23">
      <c r="A19" s="96">
        <f t="shared" si="0"/>
        <v>17</v>
      </c>
      <c r="B19" s="70">
        <f t="shared" si="1"/>
        <v>17</v>
      </c>
      <c r="C19" s="97" t="s">
        <v>261</v>
      </c>
      <c r="D19" s="67" t="s">
        <v>262</v>
      </c>
      <c r="E19" s="67">
        <v>5695</v>
      </c>
      <c r="F19" s="98" t="s">
        <v>263</v>
      </c>
      <c r="G19" s="82">
        <v>34</v>
      </c>
      <c r="H19" s="72" t="s">
        <v>32</v>
      </c>
      <c r="I19" s="111" t="s">
        <v>264</v>
      </c>
      <c r="J19" s="72">
        <v>19901119</v>
      </c>
      <c r="K19" s="70">
        <v>13852582246</v>
      </c>
      <c r="L19" s="72" t="s">
        <v>155</v>
      </c>
      <c r="M19" s="100" t="s">
        <v>164</v>
      </c>
      <c r="N19" s="100" t="s">
        <v>265</v>
      </c>
      <c r="O19" s="100" t="s">
        <v>266</v>
      </c>
      <c r="P19" s="100" t="s">
        <v>267</v>
      </c>
      <c r="Q19" s="101">
        <v>18912146981</v>
      </c>
      <c r="R19" s="102" t="s">
        <v>268</v>
      </c>
      <c r="S19" s="103">
        <v>49052</v>
      </c>
      <c r="T19" s="72">
        <v>3222</v>
      </c>
      <c r="U19" s="104">
        <v>45625</v>
      </c>
      <c r="V19" s="104">
        <v>45626</v>
      </c>
      <c r="W19" s="72">
        <v>204</v>
      </c>
    </row>
    <row r="20" s="83" customFormat="1" ht="19" customHeight="1" spans="1:23">
      <c r="A20" s="96">
        <f t="shared" si="0"/>
        <v>18</v>
      </c>
      <c r="B20" s="70">
        <f t="shared" si="1"/>
        <v>18</v>
      </c>
      <c r="C20" s="97" t="s">
        <v>269</v>
      </c>
      <c r="D20" s="67" t="s">
        <v>270</v>
      </c>
      <c r="E20" s="67">
        <v>72727</v>
      </c>
      <c r="F20" s="98" t="s">
        <v>126</v>
      </c>
      <c r="G20" s="82">
        <v>52</v>
      </c>
      <c r="H20" s="72" t="s">
        <v>32</v>
      </c>
      <c r="I20" s="153" t="s">
        <v>271</v>
      </c>
      <c r="J20" s="72">
        <v>19731104</v>
      </c>
      <c r="K20" s="70">
        <v>15064160177</v>
      </c>
      <c r="L20" s="72" t="s">
        <v>44</v>
      </c>
      <c r="M20" s="100" t="s">
        <v>109</v>
      </c>
      <c r="N20" s="72" t="s">
        <v>110</v>
      </c>
      <c r="O20" s="100" t="s">
        <v>272</v>
      </c>
      <c r="R20" s="102" t="s">
        <v>273</v>
      </c>
      <c r="S20" s="103">
        <v>48720</v>
      </c>
      <c r="T20" s="72">
        <f ca="1" t="shared" ref="T20:T38" si="4">S20-TODAY()</f>
        <v>2630</v>
      </c>
      <c r="U20" s="104">
        <v>45809</v>
      </c>
      <c r="V20" s="104">
        <v>45810</v>
      </c>
      <c r="W20" s="72">
        <f ca="1" t="shared" ref="W20:W38" si="5">TODAY()-V20</f>
        <v>280</v>
      </c>
    </row>
    <row r="21" s="83" customFormat="1" ht="19" customHeight="1" spans="1:23">
      <c r="A21" s="96">
        <f t="shared" si="0"/>
        <v>19</v>
      </c>
      <c r="B21" s="70">
        <f t="shared" si="1"/>
        <v>19</v>
      </c>
      <c r="C21" s="97" t="s">
        <v>274</v>
      </c>
      <c r="D21" s="67" t="s">
        <v>275</v>
      </c>
      <c r="E21" s="67">
        <v>73121</v>
      </c>
      <c r="F21" s="98" t="s">
        <v>153</v>
      </c>
      <c r="G21" s="82">
        <v>52</v>
      </c>
      <c r="H21" s="72" t="s">
        <v>32</v>
      </c>
      <c r="I21" s="111" t="s">
        <v>276</v>
      </c>
      <c r="J21" s="72">
        <v>19731212</v>
      </c>
      <c r="K21" s="70">
        <v>15061175101</v>
      </c>
      <c r="L21" s="72" t="s">
        <v>155</v>
      </c>
      <c r="M21" s="72" t="s">
        <v>277</v>
      </c>
      <c r="N21" s="72" t="s">
        <v>278</v>
      </c>
      <c r="O21" s="72" t="s">
        <v>279</v>
      </c>
      <c r="P21" s="72" t="s">
        <v>280</v>
      </c>
      <c r="Q21" s="72">
        <v>15805114109</v>
      </c>
      <c r="R21" s="102" t="s">
        <v>281</v>
      </c>
      <c r="S21" s="103">
        <v>49328</v>
      </c>
      <c r="T21" s="72">
        <f ca="1" t="shared" si="4"/>
        <v>3238</v>
      </c>
      <c r="U21" s="104">
        <v>45854</v>
      </c>
      <c r="V21" s="104">
        <v>45855</v>
      </c>
      <c r="W21" s="72">
        <f ca="1" t="shared" si="5"/>
        <v>235</v>
      </c>
    </row>
    <row r="22" s="83" customFormat="1" ht="19" customHeight="1" spans="1:23">
      <c r="A22" s="96">
        <f t="shared" si="0"/>
        <v>20</v>
      </c>
      <c r="B22" s="70">
        <f t="shared" si="1"/>
        <v>20</v>
      </c>
      <c r="C22" s="97" t="s">
        <v>282</v>
      </c>
      <c r="D22" s="67" t="s">
        <v>283</v>
      </c>
      <c r="E22" s="67">
        <v>73093</v>
      </c>
      <c r="F22" s="98" t="s">
        <v>153</v>
      </c>
      <c r="G22" s="82">
        <v>53</v>
      </c>
      <c r="H22" s="72" t="s">
        <v>32</v>
      </c>
      <c r="I22" s="153" t="s">
        <v>284</v>
      </c>
      <c r="J22" s="72">
        <v>19721211</v>
      </c>
      <c r="K22" s="72">
        <v>18839722893</v>
      </c>
      <c r="L22" s="72" t="s">
        <v>118</v>
      </c>
      <c r="M22" s="72" t="s">
        <v>285</v>
      </c>
      <c r="N22" s="72" t="s">
        <v>286</v>
      </c>
      <c r="O22" s="72" t="s">
        <v>287</v>
      </c>
      <c r="P22" s="72" t="s">
        <v>288</v>
      </c>
      <c r="Q22" s="72">
        <v>18839722893</v>
      </c>
      <c r="R22" s="102" t="s">
        <v>289</v>
      </c>
      <c r="S22" s="103">
        <v>48948</v>
      </c>
      <c r="T22" s="72">
        <f ca="1" t="shared" si="4"/>
        <v>2858</v>
      </c>
      <c r="U22" s="104">
        <v>45854</v>
      </c>
      <c r="V22" s="104">
        <v>45855</v>
      </c>
      <c r="W22" s="72">
        <f ca="1" t="shared" si="5"/>
        <v>235</v>
      </c>
    </row>
    <row r="23" s="83" customFormat="1" ht="19" customHeight="1" spans="1:23">
      <c r="A23" s="96">
        <f t="shared" si="0"/>
        <v>21</v>
      </c>
      <c r="B23" s="70">
        <f t="shared" si="1"/>
        <v>21</v>
      </c>
      <c r="C23" s="97" t="s">
        <v>290</v>
      </c>
      <c r="D23" s="67" t="s">
        <v>291</v>
      </c>
      <c r="E23" s="67">
        <v>73095</v>
      </c>
      <c r="F23" s="98" t="s">
        <v>153</v>
      </c>
      <c r="G23" s="82">
        <v>51</v>
      </c>
      <c r="H23" s="72" t="s">
        <v>32</v>
      </c>
      <c r="I23" s="153" t="s">
        <v>292</v>
      </c>
      <c r="J23" s="72">
        <v>19740120</v>
      </c>
      <c r="K23" s="70">
        <v>17388433439</v>
      </c>
      <c r="L23" s="72" t="s">
        <v>155</v>
      </c>
      <c r="M23" s="72" t="s">
        <v>293</v>
      </c>
      <c r="N23" s="72" t="s">
        <v>294</v>
      </c>
      <c r="O23" s="72" t="s">
        <v>295</v>
      </c>
      <c r="P23" s="72" t="s">
        <v>296</v>
      </c>
      <c r="Q23" s="72">
        <v>17766145653</v>
      </c>
      <c r="R23" s="102" t="s">
        <v>297</v>
      </c>
      <c r="S23" s="103">
        <v>48790</v>
      </c>
      <c r="T23" s="72">
        <f ca="1" t="shared" si="4"/>
        <v>2700</v>
      </c>
      <c r="U23" s="104">
        <v>45854</v>
      </c>
      <c r="V23" s="104">
        <v>45855</v>
      </c>
      <c r="W23" s="72">
        <f ca="1" t="shared" si="5"/>
        <v>235</v>
      </c>
    </row>
    <row r="24" s="83" customFormat="1" ht="19" customHeight="1" spans="1:23">
      <c r="A24" s="96">
        <f t="shared" si="0"/>
        <v>22</v>
      </c>
      <c r="B24" s="70">
        <f t="shared" si="1"/>
        <v>22</v>
      </c>
      <c r="C24" s="97" t="s">
        <v>298</v>
      </c>
      <c r="D24" s="67" t="s">
        <v>299</v>
      </c>
      <c r="E24" s="67">
        <v>73150</v>
      </c>
      <c r="F24" s="98" t="s">
        <v>171</v>
      </c>
      <c r="G24" s="82">
        <v>54</v>
      </c>
      <c r="H24" s="72" t="s">
        <v>32</v>
      </c>
      <c r="I24" s="153" t="s">
        <v>300</v>
      </c>
      <c r="J24" s="72">
        <v>19710911</v>
      </c>
      <c r="K24" s="72">
        <v>15333733510</v>
      </c>
      <c r="L24" s="72" t="s">
        <v>118</v>
      </c>
      <c r="M24" s="72" t="s">
        <v>237</v>
      </c>
      <c r="N24" s="72" t="s">
        <v>301</v>
      </c>
      <c r="O24" s="72" t="s">
        <v>302</v>
      </c>
      <c r="P24" s="72" t="s">
        <v>303</v>
      </c>
      <c r="Q24" s="72">
        <v>15333739326</v>
      </c>
      <c r="R24" s="102" t="s">
        <v>304</v>
      </c>
      <c r="S24" s="103">
        <v>48449</v>
      </c>
      <c r="T24" s="72">
        <f ca="1" t="shared" si="4"/>
        <v>2359</v>
      </c>
      <c r="U24" s="104">
        <v>45860</v>
      </c>
      <c r="V24" s="104">
        <v>45860</v>
      </c>
      <c r="W24" s="72">
        <f ca="1" t="shared" si="5"/>
        <v>230</v>
      </c>
    </row>
    <row r="25" s="83" customFormat="1" ht="19" customHeight="1" spans="1:23">
      <c r="A25" s="96">
        <f t="shared" si="0"/>
        <v>23</v>
      </c>
      <c r="B25" s="70">
        <f t="shared" si="1"/>
        <v>23</v>
      </c>
      <c r="C25" s="97" t="s">
        <v>305</v>
      </c>
      <c r="D25" s="67" t="s">
        <v>306</v>
      </c>
      <c r="E25" s="67">
        <v>73145</v>
      </c>
      <c r="F25" s="98" t="s">
        <v>116</v>
      </c>
      <c r="G25" s="82">
        <v>46</v>
      </c>
      <c r="H25" s="72" t="s">
        <v>32</v>
      </c>
      <c r="I25" s="153" t="s">
        <v>307</v>
      </c>
      <c r="J25" s="72">
        <v>19791013</v>
      </c>
      <c r="K25" s="72">
        <v>18051426895</v>
      </c>
      <c r="L25" s="72" t="s">
        <v>155</v>
      </c>
      <c r="M25" s="72" t="s">
        <v>308</v>
      </c>
      <c r="N25" s="72" t="s">
        <v>309</v>
      </c>
      <c r="O25" s="72" t="s">
        <v>310</v>
      </c>
      <c r="P25" s="72" t="s">
        <v>311</v>
      </c>
      <c r="Q25" s="72">
        <v>18248841895</v>
      </c>
      <c r="R25" s="102" t="s">
        <v>312</v>
      </c>
      <c r="S25" s="103">
        <v>48364</v>
      </c>
      <c r="T25" s="72">
        <f ca="1" t="shared" si="4"/>
        <v>2274</v>
      </c>
      <c r="U25" s="104">
        <v>45860</v>
      </c>
      <c r="V25" s="104">
        <v>45860</v>
      </c>
      <c r="W25" s="72">
        <f ca="1" t="shared" si="5"/>
        <v>230</v>
      </c>
    </row>
    <row r="26" s="83" customFormat="1" ht="19" customHeight="1" spans="1:23">
      <c r="A26" s="96">
        <f t="shared" si="0"/>
        <v>24</v>
      </c>
      <c r="B26" s="70">
        <f t="shared" si="1"/>
        <v>24</v>
      </c>
      <c r="C26" s="97" t="s">
        <v>313</v>
      </c>
      <c r="D26" s="67" t="s">
        <v>314</v>
      </c>
      <c r="E26" s="67">
        <v>73147</v>
      </c>
      <c r="F26" s="98" t="s">
        <v>315</v>
      </c>
      <c r="G26" s="82">
        <v>45</v>
      </c>
      <c r="H26" s="72" t="s">
        <v>32</v>
      </c>
      <c r="I26" s="153" t="s">
        <v>316</v>
      </c>
      <c r="J26" s="72">
        <v>19800906</v>
      </c>
      <c r="K26" s="72">
        <v>15850435118</v>
      </c>
      <c r="L26" s="72" t="s">
        <v>155</v>
      </c>
      <c r="M26" s="72" t="s">
        <v>228</v>
      </c>
      <c r="N26" s="72" t="s">
        <v>229</v>
      </c>
      <c r="O26" s="72" t="s">
        <v>317</v>
      </c>
      <c r="P26" s="72" t="s">
        <v>318</v>
      </c>
      <c r="Q26" s="72">
        <v>18852743236</v>
      </c>
      <c r="R26" s="102" t="s">
        <v>319</v>
      </c>
      <c r="S26" s="103">
        <v>48359</v>
      </c>
      <c r="T26" s="72">
        <f ca="1" t="shared" si="4"/>
        <v>2269</v>
      </c>
      <c r="U26" s="104">
        <v>45860</v>
      </c>
      <c r="V26" s="104">
        <v>45860</v>
      </c>
      <c r="W26" s="72">
        <f ca="1" t="shared" si="5"/>
        <v>230</v>
      </c>
    </row>
    <row r="27" s="83" customFormat="1" ht="19" customHeight="1" spans="1:23">
      <c r="A27" s="96">
        <f t="shared" si="0"/>
        <v>25</v>
      </c>
      <c r="B27" s="70">
        <f t="shared" si="1"/>
        <v>25</v>
      </c>
      <c r="C27" s="97" t="s">
        <v>320</v>
      </c>
      <c r="D27" s="67" t="s">
        <v>321</v>
      </c>
      <c r="E27" s="67">
        <v>73151</v>
      </c>
      <c r="F27" s="98" t="s">
        <v>144</v>
      </c>
      <c r="G27" s="82">
        <v>53</v>
      </c>
      <c r="H27" s="72" t="s">
        <v>32</v>
      </c>
      <c r="I27" s="153" t="s">
        <v>322</v>
      </c>
      <c r="J27" s="72">
        <v>19720822</v>
      </c>
      <c r="K27" s="72">
        <v>15371316759</v>
      </c>
      <c r="L27" s="72" t="s">
        <v>155</v>
      </c>
      <c r="M27" s="72" t="s">
        <v>228</v>
      </c>
      <c r="N27" s="72" t="s">
        <v>323</v>
      </c>
      <c r="O27" s="72" t="s">
        <v>324</v>
      </c>
      <c r="P27" s="72" t="s">
        <v>325</v>
      </c>
      <c r="Q27" s="72">
        <v>13773476441</v>
      </c>
      <c r="R27" s="102" t="s">
        <v>326</v>
      </c>
      <c r="S27" s="103">
        <v>49367</v>
      </c>
      <c r="T27" s="72">
        <f ca="1" t="shared" si="4"/>
        <v>3277</v>
      </c>
      <c r="U27" s="104">
        <v>45860</v>
      </c>
      <c r="V27" s="104">
        <v>45860</v>
      </c>
      <c r="W27" s="72">
        <f ca="1" t="shared" si="5"/>
        <v>230</v>
      </c>
    </row>
    <row r="28" s="83" customFormat="1" ht="19" customHeight="1" spans="1:23">
      <c r="A28" s="96">
        <f t="shared" si="0"/>
        <v>26</v>
      </c>
      <c r="B28" s="70">
        <f t="shared" si="1"/>
        <v>26</v>
      </c>
      <c r="C28" s="97" t="s">
        <v>327</v>
      </c>
      <c r="D28" s="67" t="s">
        <v>328</v>
      </c>
      <c r="E28" s="67">
        <v>73272</v>
      </c>
      <c r="F28" s="98" t="s">
        <v>171</v>
      </c>
      <c r="G28" s="82">
        <v>58</v>
      </c>
      <c r="H28" s="72" t="s">
        <v>32</v>
      </c>
      <c r="I28" s="111" t="s">
        <v>329</v>
      </c>
      <c r="J28" s="72">
        <v>19670429</v>
      </c>
      <c r="K28" s="72">
        <v>13773461880</v>
      </c>
      <c r="L28" s="72" t="s">
        <v>155</v>
      </c>
      <c r="M28" s="72" t="s">
        <v>164</v>
      </c>
      <c r="N28" s="72" t="s">
        <v>165</v>
      </c>
      <c r="O28" s="72" t="s">
        <v>330</v>
      </c>
      <c r="P28" s="72" t="s">
        <v>331</v>
      </c>
      <c r="Q28" s="72">
        <v>18550707668</v>
      </c>
      <c r="R28" s="102" t="s">
        <v>332</v>
      </c>
      <c r="S28" s="103">
        <v>47484</v>
      </c>
      <c r="T28" s="72">
        <f ca="1" t="shared" si="4"/>
        <v>1394</v>
      </c>
      <c r="U28" s="104">
        <v>45865</v>
      </c>
      <c r="V28" s="104">
        <v>45865</v>
      </c>
      <c r="W28" s="72">
        <f ca="1" t="shared" si="5"/>
        <v>225</v>
      </c>
    </row>
    <row r="29" s="83" customFormat="1" ht="19" customHeight="1" spans="1:23">
      <c r="A29" s="96">
        <f t="shared" si="0"/>
        <v>27</v>
      </c>
      <c r="B29" s="70">
        <f t="shared" si="1"/>
        <v>27</v>
      </c>
      <c r="C29" s="115" t="s">
        <v>333</v>
      </c>
      <c r="D29" s="67" t="s">
        <v>334</v>
      </c>
      <c r="E29" s="67">
        <v>35730</v>
      </c>
      <c r="F29" s="98" t="s">
        <v>116</v>
      </c>
      <c r="G29" s="82">
        <v>49</v>
      </c>
      <c r="H29" s="72" t="s">
        <v>32</v>
      </c>
      <c r="I29" s="111" t="s">
        <v>335</v>
      </c>
      <c r="J29" s="72">
        <v>19761120</v>
      </c>
      <c r="K29" s="72">
        <v>13601448340</v>
      </c>
      <c r="L29" s="72" t="s">
        <v>155</v>
      </c>
      <c r="M29" s="72" t="s">
        <v>220</v>
      </c>
      <c r="N29" s="72" t="s">
        <v>221</v>
      </c>
      <c r="O29" s="72" t="s">
        <v>336</v>
      </c>
      <c r="P29" s="72" t="s">
        <v>337</v>
      </c>
      <c r="Q29" s="72">
        <v>18136610544</v>
      </c>
      <c r="R29" s="102" t="s">
        <v>338</v>
      </c>
      <c r="S29" s="103">
        <v>48829</v>
      </c>
      <c r="T29" s="72">
        <f ca="1" t="shared" si="4"/>
        <v>2739</v>
      </c>
      <c r="U29" s="104">
        <v>45865</v>
      </c>
      <c r="V29" s="104">
        <v>45865</v>
      </c>
      <c r="W29" s="72">
        <f ca="1" t="shared" si="5"/>
        <v>225</v>
      </c>
    </row>
    <row r="30" s="83" customFormat="1" ht="19" customHeight="1" spans="1:23">
      <c r="A30" s="96">
        <f t="shared" si="0"/>
        <v>28</v>
      </c>
      <c r="B30" s="70">
        <f t="shared" si="1"/>
        <v>28</v>
      </c>
      <c r="C30" s="66" t="s">
        <v>339</v>
      </c>
      <c r="D30" s="67" t="s">
        <v>340</v>
      </c>
      <c r="E30" s="67">
        <v>73711</v>
      </c>
      <c r="F30" s="116" t="s">
        <v>341</v>
      </c>
      <c r="G30" s="82"/>
      <c r="H30" s="72" t="s">
        <v>32</v>
      </c>
      <c r="I30" s="153" t="s">
        <v>342</v>
      </c>
      <c r="J30" s="72">
        <v>19911001</v>
      </c>
      <c r="K30" s="70">
        <v>18507158451</v>
      </c>
      <c r="L30" s="72" t="s">
        <v>343</v>
      </c>
      <c r="M30" s="72" t="s">
        <v>344</v>
      </c>
      <c r="N30" s="72" t="s">
        <v>345</v>
      </c>
      <c r="O30" s="72" t="s">
        <v>346</v>
      </c>
      <c r="P30" s="72" t="s">
        <v>347</v>
      </c>
      <c r="Q30" s="72">
        <v>15926302978</v>
      </c>
      <c r="R30" s="102" t="s">
        <v>348</v>
      </c>
      <c r="S30" s="103">
        <v>49128</v>
      </c>
      <c r="T30" s="72">
        <f ca="1" t="shared" si="4"/>
        <v>3038</v>
      </c>
      <c r="U30" s="104">
        <v>45901</v>
      </c>
      <c r="V30" s="104">
        <v>45902</v>
      </c>
      <c r="W30" s="72">
        <f ca="1" t="shared" si="5"/>
        <v>188</v>
      </c>
    </row>
    <row r="31" s="83" customFormat="1" ht="19" customHeight="1" spans="1:23">
      <c r="A31" s="96">
        <f t="shared" si="0"/>
        <v>29</v>
      </c>
      <c r="B31" s="70">
        <f t="shared" si="1"/>
        <v>29</v>
      </c>
      <c r="C31" s="117" t="s">
        <v>225</v>
      </c>
      <c r="D31" s="67" t="s">
        <v>226</v>
      </c>
      <c r="E31" s="67">
        <v>73712</v>
      </c>
      <c r="F31" s="116" t="s">
        <v>153</v>
      </c>
      <c r="G31" s="82"/>
      <c r="H31" s="72" t="s">
        <v>32</v>
      </c>
      <c r="I31" s="153" t="s">
        <v>349</v>
      </c>
      <c r="J31" s="72">
        <v>19710615</v>
      </c>
      <c r="K31" s="70">
        <v>15152759196</v>
      </c>
      <c r="L31" s="72" t="s">
        <v>155</v>
      </c>
      <c r="M31" s="72" t="s">
        <v>164</v>
      </c>
      <c r="N31" s="72" t="s">
        <v>165</v>
      </c>
      <c r="O31" s="72" t="s">
        <v>350</v>
      </c>
      <c r="P31" s="72" t="s">
        <v>351</v>
      </c>
      <c r="Q31" s="72">
        <v>13773398891</v>
      </c>
      <c r="R31" s="102" t="s">
        <v>352</v>
      </c>
      <c r="S31" s="103">
        <v>48282</v>
      </c>
      <c r="T31" s="72">
        <f ca="1" t="shared" si="4"/>
        <v>2192</v>
      </c>
      <c r="U31" s="104">
        <v>45901</v>
      </c>
      <c r="V31" s="104">
        <v>45902</v>
      </c>
      <c r="W31" s="72">
        <f ca="1" t="shared" si="5"/>
        <v>188</v>
      </c>
    </row>
    <row r="32" s="83" customFormat="1" ht="19" customHeight="1" spans="1:23">
      <c r="A32" s="96">
        <f t="shared" si="0"/>
        <v>30</v>
      </c>
      <c r="B32" s="70">
        <f t="shared" si="1"/>
        <v>30</v>
      </c>
      <c r="C32" s="97" t="s">
        <v>353</v>
      </c>
      <c r="D32" s="113" t="s">
        <v>354</v>
      </c>
      <c r="E32" s="114">
        <v>72331</v>
      </c>
      <c r="F32" s="98" t="s">
        <v>144</v>
      </c>
      <c r="G32" s="82"/>
      <c r="H32" s="72" t="s">
        <v>32</v>
      </c>
      <c r="I32" s="153" t="s">
        <v>355</v>
      </c>
      <c r="J32" s="72">
        <v>19720916</v>
      </c>
      <c r="K32" s="70">
        <v>18112147381</v>
      </c>
      <c r="L32" s="72" t="s">
        <v>155</v>
      </c>
      <c r="M32" s="100" t="s">
        <v>164</v>
      </c>
      <c r="N32" s="100" t="s">
        <v>165</v>
      </c>
      <c r="O32" s="100" t="s">
        <v>356</v>
      </c>
      <c r="P32" s="100" t="s">
        <v>357</v>
      </c>
      <c r="Q32" s="70">
        <v>18014058985</v>
      </c>
      <c r="R32" s="108" t="s">
        <v>358</v>
      </c>
      <c r="S32" s="103">
        <v>46361</v>
      </c>
      <c r="T32" s="72">
        <f ca="1" t="shared" si="4"/>
        <v>271</v>
      </c>
      <c r="U32" s="104">
        <v>45912</v>
      </c>
      <c r="V32" s="104">
        <v>45913</v>
      </c>
      <c r="W32" s="72">
        <f ca="1" t="shared" si="5"/>
        <v>177</v>
      </c>
    </row>
    <row r="33" s="83" customFormat="1" ht="19" customHeight="1" spans="1:26">
      <c r="A33" s="96">
        <f t="shared" si="0"/>
        <v>31</v>
      </c>
      <c r="B33" s="70">
        <f t="shared" si="1"/>
        <v>31</v>
      </c>
      <c r="C33" s="115" t="s">
        <v>359</v>
      </c>
      <c r="D33" s="113" t="s">
        <v>360</v>
      </c>
      <c r="E33" s="114">
        <v>26549</v>
      </c>
      <c r="F33" s="86"/>
      <c r="G33" s="82"/>
      <c r="H33" s="72" t="s">
        <v>32</v>
      </c>
      <c r="I33" s="153" t="s">
        <v>361</v>
      </c>
      <c r="J33" s="72">
        <v>19820215</v>
      </c>
      <c r="K33" s="105">
        <v>17829038614</v>
      </c>
      <c r="L33" s="72" t="s">
        <v>362</v>
      </c>
      <c r="M33" s="100" t="s">
        <v>363</v>
      </c>
      <c r="N33" s="100" t="s">
        <v>364</v>
      </c>
      <c r="O33" s="100" t="s">
        <v>365</v>
      </c>
      <c r="P33" s="100" t="s">
        <v>366</v>
      </c>
      <c r="Q33" s="70">
        <v>17809234948</v>
      </c>
      <c r="R33" s="108" t="s">
        <v>367</v>
      </c>
      <c r="S33" s="103">
        <v>48183</v>
      </c>
      <c r="T33" s="72">
        <f ca="1" t="shared" si="4"/>
        <v>2093</v>
      </c>
      <c r="U33" s="104">
        <v>45917</v>
      </c>
      <c r="V33" s="104">
        <v>45918</v>
      </c>
      <c r="W33" s="72">
        <f ca="1" t="shared" si="5"/>
        <v>172</v>
      </c>
    </row>
    <row r="34" s="83" customFormat="1" ht="19" customHeight="1" spans="1:26">
      <c r="A34" s="96">
        <f t="shared" si="0"/>
        <v>32</v>
      </c>
      <c r="B34" s="70">
        <f t="shared" si="1"/>
        <v>32</v>
      </c>
      <c r="C34" s="97" t="s">
        <v>368</v>
      </c>
      <c r="D34" s="113" t="s">
        <v>369</v>
      </c>
      <c r="E34" s="114">
        <v>72332</v>
      </c>
      <c r="F34" s="98" t="s">
        <v>370</v>
      </c>
      <c r="G34" s="82"/>
      <c r="H34" s="72" t="s">
        <v>32</v>
      </c>
      <c r="I34" s="153" t="s">
        <v>371</v>
      </c>
      <c r="J34" s="72">
        <v>20000926</v>
      </c>
      <c r="K34" s="70">
        <v>13805172666</v>
      </c>
      <c r="L34" s="72" t="s">
        <v>155</v>
      </c>
      <c r="M34" s="100" t="s">
        <v>372</v>
      </c>
      <c r="N34" s="100" t="s">
        <v>373</v>
      </c>
      <c r="O34" s="100" t="s">
        <v>374</v>
      </c>
      <c r="P34" s="100" t="s">
        <v>189</v>
      </c>
      <c r="Q34" s="70">
        <v>18351917781</v>
      </c>
      <c r="R34" s="108" t="s">
        <v>375</v>
      </c>
      <c r="S34" s="103">
        <v>48806</v>
      </c>
      <c r="T34" s="72">
        <f ca="1" t="shared" si="4"/>
        <v>2716</v>
      </c>
      <c r="U34" s="104">
        <v>45923</v>
      </c>
      <c r="V34" s="104">
        <v>45924</v>
      </c>
      <c r="W34" s="72">
        <f ca="1" t="shared" si="5"/>
        <v>166</v>
      </c>
    </row>
    <row r="35" s="83" customFormat="1" ht="19" customHeight="1" spans="1:26">
      <c r="A35" s="96">
        <f t="shared" si="0"/>
        <v>33</v>
      </c>
      <c r="B35" s="70">
        <f t="shared" si="1"/>
        <v>33</v>
      </c>
      <c r="C35" s="97" t="s">
        <v>376</v>
      </c>
      <c r="D35" s="113" t="s">
        <v>377</v>
      </c>
      <c r="E35" s="114">
        <v>73975</v>
      </c>
      <c r="F35" s="86"/>
      <c r="G35" s="82"/>
      <c r="H35" s="72" t="s">
        <v>32</v>
      </c>
      <c r="I35" s="111" t="s">
        <v>378</v>
      </c>
      <c r="J35" s="72">
        <v>19740403</v>
      </c>
      <c r="K35" s="105">
        <v>15052541239</v>
      </c>
      <c r="L35" s="72" t="s">
        <v>155</v>
      </c>
      <c r="M35" s="100" t="s">
        <v>228</v>
      </c>
      <c r="N35" s="100" t="s">
        <v>379</v>
      </c>
      <c r="O35" s="100" t="s">
        <v>380</v>
      </c>
      <c r="P35" s="100" t="s">
        <v>381</v>
      </c>
      <c r="Q35" s="105">
        <v>15152723213</v>
      </c>
      <c r="R35" s="118" t="s">
        <v>382</v>
      </c>
      <c r="S35" s="103">
        <v>48056</v>
      </c>
      <c r="T35" s="72">
        <f ca="1" t="shared" si="4"/>
        <v>1966</v>
      </c>
      <c r="U35" s="104">
        <v>45924</v>
      </c>
      <c r="V35" s="104">
        <v>45926</v>
      </c>
      <c r="W35" s="72">
        <f ca="1" t="shared" si="5"/>
        <v>164</v>
      </c>
    </row>
    <row r="36" s="83" customFormat="1" ht="19" customHeight="1" spans="1:26">
      <c r="A36" s="96">
        <f t="shared" si="0"/>
        <v>34</v>
      </c>
      <c r="B36" s="70">
        <f t="shared" si="1"/>
        <v>34</v>
      </c>
      <c r="C36" s="97" t="s">
        <v>383</v>
      </c>
      <c r="D36" s="67" t="s">
        <v>384</v>
      </c>
      <c r="E36" s="67">
        <v>65523</v>
      </c>
      <c r="F36" s="98" t="s">
        <v>171</v>
      </c>
      <c r="G36" s="82">
        <f ca="1">DATEDIF(TEXT(MID(I36,7,8),"0-00-00"),TODAY(),"y")</f>
        <v>35</v>
      </c>
      <c r="H36" s="72" t="s">
        <v>31</v>
      </c>
      <c r="I36" s="152" t="s">
        <v>385</v>
      </c>
      <c r="J36" s="72" t="str">
        <f>MID(I36,7,8)</f>
        <v>19900929</v>
      </c>
      <c r="K36" s="70">
        <v>13476765562</v>
      </c>
      <c r="L36" s="72" t="s">
        <v>343</v>
      </c>
      <c r="M36" s="100" t="s">
        <v>344</v>
      </c>
      <c r="N36" s="100" t="s">
        <v>345</v>
      </c>
      <c r="O36" s="100" t="s">
        <v>386</v>
      </c>
      <c r="P36" s="100" t="s">
        <v>387</v>
      </c>
      <c r="Q36" s="101">
        <v>13075274298</v>
      </c>
      <c r="R36" s="102" t="s">
        <v>388</v>
      </c>
      <c r="S36" s="103">
        <v>48629</v>
      </c>
      <c r="T36" s="72">
        <f ca="1" t="shared" si="4"/>
        <v>2539</v>
      </c>
      <c r="U36" s="104">
        <v>45327</v>
      </c>
      <c r="V36" s="104">
        <v>45337</v>
      </c>
      <c r="W36" s="72">
        <f ca="1" t="shared" si="5"/>
        <v>753</v>
      </c>
    </row>
    <row r="37" s="84" customFormat="1" ht="19" customHeight="1" spans="1:26">
      <c r="A37" s="96">
        <f t="shared" si="0"/>
        <v>35</v>
      </c>
      <c r="B37" s="70">
        <f t="shared" si="1"/>
        <v>35</v>
      </c>
      <c r="C37" s="97" t="s">
        <v>389</v>
      </c>
      <c r="D37" s="67" t="s">
        <v>390</v>
      </c>
      <c r="E37" s="67">
        <v>19638</v>
      </c>
      <c r="F37" s="98" t="s">
        <v>391</v>
      </c>
      <c r="G37" s="82">
        <f ca="1">DATEDIF(TEXT(MID(I37,7,8),"0-00-00"),TODAY(),"y")</f>
        <v>45</v>
      </c>
      <c r="H37" s="72" t="s">
        <v>31</v>
      </c>
      <c r="I37" s="99" t="s">
        <v>392</v>
      </c>
      <c r="J37" s="72" t="str">
        <f>MID(I37,7,8)</f>
        <v>19800525</v>
      </c>
      <c r="K37" s="70">
        <v>15193131875</v>
      </c>
      <c r="L37" s="72" t="s">
        <v>343</v>
      </c>
      <c r="M37" s="100" t="s">
        <v>344</v>
      </c>
      <c r="N37" s="100" t="s">
        <v>393</v>
      </c>
      <c r="O37" s="100" t="s">
        <v>394</v>
      </c>
      <c r="P37" s="100" t="s">
        <v>395</v>
      </c>
      <c r="Q37" s="101">
        <v>13971710929</v>
      </c>
      <c r="R37" s="102" t="s">
        <v>396</v>
      </c>
      <c r="S37" s="103">
        <v>48606</v>
      </c>
      <c r="T37" s="72">
        <f ca="1" t="shared" si="4"/>
        <v>2516</v>
      </c>
      <c r="U37" s="104">
        <v>45047</v>
      </c>
      <c r="V37" s="104">
        <v>45048</v>
      </c>
      <c r="W37" s="72">
        <f ca="1" t="shared" si="5"/>
        <v>1042</v>
      </c>
    </row>
    <row r="38" s="83" customFormat="1" ht="19" customHeight="1" spans="1:26">
      <c r="A38" s="96">
        <f t="shared" si="0"/>
        <v>36</v>
      </c>
      <c r="B38" s="70">
        <f t="shared" si="1"/>
        <v>36</v>
      </c>
      <c r="C38" s="97" t="s">
        <v>397</v>
      </c>
      <c r="D38" s="113" t="s">
        <v>398</v>
      </c>
      <c r="E38" s="114">
        <v>72330</v>
      </c>
      <c r="F38" s="98" t="s">
        <v>153</v>
      </c>
      <c r="G38" s="82">
        <v>46</v>
      </c>
      <c r="H38" s="72" t="s">
        <v>32</v>
      </c>
      <c r="I38" s="111" t="s">
        <v>399</v>
      </c>
      <c r="J38" s="72">
        <v>19790602</v>
      </c>
      <c r="K38" s="70">
        <v>15252716135</v>
      </c>
      <c r="L38" s="72" t="s">
        <v>155</v>
      </c>
      <c r="M38" s="100" t="s">
        <v>156</v>
      </c>
      <c r="N38" s="100" t="s">
        <v>157</v>
      </c>
      <c r="O38" s="100" t="s">
        <v>400</v>
      </c>
      <c r="P38" s="100" t="s">
        <v>401</v>
      </c>
      <c r="Q38" s="70">
        <v>18936272961</v>
      </c>
      <c r="R38" s="108" t="s">
        <v>402</v>
      </c>
      <c r="S38" s="103">
        <v>48807</v>
      </c>
      <c r="T38" s="72">
        <f ca="1" t="shared" si="4"/>
        <v>2717</v>
      </c>
      <c r="U38" s="104">
        <v>45784</v>
      </c>
      <c r="V38" s="104">
        <v>45785</v>
      </c>
      <c r="W38" s="72">
        <f ca="1" t="shared" si="5"/>
        <v>305</v>
      </c>
    </row>
    <row r="39" s="83" customFormat="1" ht="19" customHeight="1" spans="1:26">
      <c r="A39" s="96">
        <f t="shared" si="0"/>
        <v>37</v>
      </c>
      <c r="B39" s="70">
        <f t="shared" si="1"/>
        <v>37</v>
      </c>
      <c r="C39" s="97" t="s">
        <v>403</v>
      </c>
      <c r="D39" s="67" t="s">
        <v>404</v>
      </c>
      <c r="E39" s="67">
        <v>72007</v>
      </c>
      <c r="F39" s="98" t="s">
        <v>405</v>
      </c>
      <c r="G39" s="82">
        <v>48</v>
      </c>
      <c r="H39" s="72" t="s">
        <v>32</v>
      </c>
      <c r="I39" s="111" t="s">
        <v>406</v>
      </c>
      <c r="J39" s="72">
        <v>19770516</v>
      </c>
      <c r="K39" s="70">
        <v>15239802335</v>
      </c>
      <c r="L39" s="72" t="s">
        <v>118</v>
      </c>
      <c r="M39" s="100" t="s">
        <v>407</v>
      </c>
      <c r="N39" s="100" t="s">
        <v>408</v>
      </c>
      <c r="O39" s="100" t="s">
        <v>409</v>
      </c>
      <c r="P39" s="100" t="s">
        <v>410</v>
      </c>
      <c r="Q39" s="70">
        <v>15039860559</v>
      </c>
      <c r="R39" s="102" t="s">
        <v>411</v>
      </c>
      <c r="S39" s="103">
        <v>48595</v>
      </c>
      <c r="T39" s="72">
        <v>2832</v>
      </c>
      <c r="U39" s="104">
        <v>45757</v>
      </c>
      <c r="V39" s="104">
        <v>45758</v>
      </c>
      <c r="W39" s="72">
        <v>263</v>
      </c>
    </row>
    <row r="40" s="84" customFormat="1" ht="19" customHeight="1" spans="1:26">
      <c r="A40" s="96">
        <f t="shared" si="0"/>
        <v>38</v>
      </c>
      <c r="B40" s="70">
        <f t="shared" si="1"/>
        <v>38</v>
      </c>
      <c r="C40" s="112" t="s">
        <v>412</v>
      </c>
      <c r="D40" s="67" t="s">
        <v>413</v>
      </c>
      <c r="E40" s="67">
        <v>30276</v>
      </c>
      <c r="F40" s="98" t="s">
        <v>171</v>
      </c>
      <c r="G40" s="82">
        <v>58</v>
      </c>
      <c r="H40" s="72" t="s">
        <v>32</v>
      </c>
      <c r="I40" s="111" t="s">
        <v>414</v>
      </c>
      <c r="J40" s="72">
        <v>19670513</v>
      </c>
      <c r="K40" s="70">
        <v>14752705338</v>
      </c>
      <c r="L40" s="72" t="s">
        <v>155</v>
      </c>
      <c r="M40" s="100" t="s">
        <v>228</v>
      </c>
      <c r="N40" s="72" t="s">
        <v>229</v>
      </c>
      <c r="O40" s="100" t="s">
        <v>415</v>
      </c>
      <c r="P40" s="100" t="s">
        <v>416</v>
      </c>
      <c r="Q40" s="72">
        <v>13405560358</v>
      </c>
      <c r="R40" s="102" t="s">
        <v>417</v>
      </c>
      <c r="S40" s="103">
        <v>47146</v>
      </c>
      <c r="T40" s="72">
        <f ca="1">S40-TODAY()</f>
        <v>1056</v>
      </c>
      <c r="U40" s="104">
        <v>45784</v>
      </c>
      <c r="V40" s="104">
        <v>45785</v>
      </c>
      <c r="W40" s="72">
        <f ca="1">TODAY()-V40</f>
        <v>305</v>
      </c>
      <c r="X40" s="83"/>
      <c r="Y40" s="83"/>
      <c r="Z40" s="83"/>
    </row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  <row r="201" ht="19" customHeight="1"/>
    <row r="202" ht="19" customHeight="1"/>
    <row r="203" ht="19" customHeight="1"/>
  </sheetData>
  <mergeCells count="5">
    <mergeCell ref="B1:H1"/>
    <mergeCell ref="I1:Q1"/>
    <mergeCell ref="R1:T1"/>
    <mergeCell ref="U1:W1"/>
    <mergeCell ref="A1:A2"/>
  </mergeCells>
  <conditionalFormatting sqref="D3">
    <cfRule type="duplicateValues" dxfId="0" priority="151"/>
  </conditionalFormatting>
  <conditionalFormatting sqref="E3">
    <cfRule type="duplicateValues" dxfId="0" priority="150"/>
  </conditionalFormatting>
  <conditionalFormatting sqref="H3">
    <cfRule type="colorScale" priority="14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T3">
    <cfRule type="cellIs" dxfId="1" priority="155" operator="lessThan">
      <formula>400</formula>
    </cfRule>
    <cfRule type="cellIs" dxfId="1" priority="152" operator="lessThan">
      <formula>500</formula>
    </cfRule>
  </conditionalFormatting>
  <conditionalFormatting sqref="D4">
    <cfRule type="duplicateValues" dxfId="0" priority="148"/>
  </conditionalFormatting>
  <conditionalFormatting sqref="E4">
    <cfRule type="duplicateValues" dxfId="0" priority="144"/>
  </conditionalFormatting>
  <conditionalFormatting sqref="T4">
    <cfRule type="cellIs" dxfId="1" priority="147" operator="lessThan">
      <formula>400</formula>
    </cfRule>
    <cfRule type="cellIs" dxfId="1" priority="146" operator="lessThan">
      <formula>500</formula>
    </cfRule>
  </conditionalFormatting>
  <conditionalFormatting sqref="D5">
    <cfRule type="duplicateValues" dxfId="0" priority="139"/>
  </conditionalFormatting>
  <conditionalFormatting sqref="T5">
    <cfRule type="cellIs" dxfId="1" priority="141" operator="lessThan">
      <formula>400</formula>
    </cfRule>
    <cfRule type="cellIs" dxfId="1" priority="140" operator="lessThan">
      <formula>500</formula>
    </cfRule>
  </conditionalFormatting>
  <conditionalFormatting sqref="T15">
    <cfRule type="cellIs" dxfId="1" priority="132" operator="lessThan">
      <formula>400</formula>
    </cfRule>
    <cfRule type="cellIs" dxfId="1" priority="131" operator="lessThan">
      <formula>500</formula>
    </cfRule>
  </conditionalFormatting>
  <conditionalFormatting sqref="T16">
    <cfRule type="cellIs" dxfId="1" priority="130" operator="lessThan">
      <formula>400</formula>
    </cfRule>
    <cfRule type="cellIs" dxfId="1" priority="129" operator="lessThan">
      <formula>500</formula>
    </cfRule>
  </conditionalFormatting>
  <conditionalFormatting sqref="T17">
    <cfRule type="cellIs" dxfId="1" priority="128" operator="lessThan">
      <formula>400</formula>
    </cfRule>
    <cfRule type="cellIs" dxfId="1" priority="127" operator="lessThan">
      <formula>500</formula>
    </cfRule>
  </conditionalFormatting>
  <conditionalFormatting sqref="D18">
    <cfRule type="duplicateValues" dxfId="0" priority="114"/>
  </conditionalFormatting>
  <conditionalFormatting sqref="E18">
    <cfRule type="duplicateValues" dxfId="0" priority="117"/>
  </conditionalFormatting>
  <conditionalFormatting sqref="T18">
    <cfRule type="cellIs" dxfId="1" priority="121" operator="lessThan">
      <formula>400</formula>
    </cfRule>
    <cfRule type="cellIs" dxfId="1" priority="119" operator="lessThan">
      <formula>500</formula>
    </cfRule>
  </conditionalFormatting>
  <conditionalFormatting sqref="D19">
    <cfRule type="duplicateValues" dxfId="0" priority="113"/>
  </conditionalFormatting>
  <conditionalFormatting sqref="E19">
    <cfRule type="duplicateValues" dxfId="0" priority="115"/>
  </conditionalFormatting>
  <conditionalFormatting sqref="T19">
    <cfRule type="cellIs" dxfId="1" priority="120" operator="lessThan">
      <formula>400</formula>
    </cfRule>
    <cfRule type="cellIs" dxfId="1" priority="118" operator="lessThan">
      <formula>500</formula>
    </cfRule>
  </conditionalFormatting>
  <conditionalFormatting sqref="D20">
    <cfRule type="duplicateValues" dxfId="0" priority="124"/>
  </conditionalFormatting>
  <conditionalFormatting sqref="E20">
    <cfRule type="duplicateValues" dxfId="0" priority="123"/>
  </conditionalFormatting>
  <conditionalFormatting sqref="T20">
    <cfRule type="cellIs" dxfId="1" priority="126" operator="lessThan">
      <formula>400</formula>
    </cfRule>
    <cfRule type="cellIs" dxfId="1" priority="125" operator="lessThan">
      <formula>500</formula>
    </cfRule>
  </conditionalFormatting>
  <conditionalFormatting sqref="D21">
    <cfRule type="duplicateValues" dxfId="0" priority="110"/>
  </conditionalFormatting>
  <conditionalFormatting sqref="E21">
    <cfRule type="duplicateValues" dxfId="0" priority="109"/>
  </conditionalFormatting>
  <conditionalFormatting sqref="D22">
    <cfRule type="duplicateValues" dxfId="0" priority="108"/>
  </conditionalFormatting>
  <conditionalFormatting sqref="E22">
    <cfRule type="duplicateValues" dxfId="0" priority="107"/>
  </conditionalFormatting>
  <conditionalFormatting sqref="D23">
    <cfRule type="duplicateValues" dxfId="0" priority="106"/>
  </conditionalFormatting>
  <conditionalFormatting sqref="E23">
    <cfRule type="duplicateValues" dxfId="0" priority="105"/>
  </conditionalFormatting>
  <conditionalFormatting sqref="D24">
    <cfRule type="duplicateValues" dxfId="0" priority="102"/>
  </conditionalFormatting>
  <conditionalFormatting sqref="E24">
    <cfRule type="duplicateValues" dxfId="0" priority="101"/>
  </conditionalFormatting>
  <conditionalFormatting sqref="D25">
    <cfRule type="duplicateValues" dxfId="0" priority="100"/>
  </conditionalFormatting>
  <conditionalFormatting sqref="E25">
    <cfRule type="duplicateValues" dxfId="0" priority="99"/>
  </conditionalFormatting>
  <conditionalFormatting sqref="D26">
    <cfRule type="duplicateValues" dxfId="0" priority="98"/>
  </conditionalFormatting>
  <conditionalFormatting sqref="E26">
    <cfRule type="duplicateValues" dxfId="0" priority="97"/>
  </conditionalFormatting>
  <conditionalFormatting sqref="D27">
    <cfRule type="duplicateValues" dxfId="0" priority="96"/>
  </conditionalFormatting>
  <conditionalFormatting sqref="E27">
    <cfRule type="duplicateValues" dxfId="0" priority="95"/>
  </conditionalFormatting>
  <conditionalFormatting sqref="D28">
    <cfRule type="duplicateValues" dxfId="0" priority="94"/>
  </conditionalFormatting>
  <conditionalFormatting sqref="E28">
    <cfRule type="duplicateValues" dxfId="0" priority="92"/>
  </conditionalFormatting>
  <conditionalFormatting sqref="D29">
    <cfRule type="duplicateValues" dxfId="0" priority="93"/>
  </conditionalFormatting>
  <conditionalFormatting sqref="E29">
    <cfRule type="duplicateValues" dxfId="0" priority="91"/>
  </conditionalFormatting>
  <conditionalFormatting sqref="C30">
    <cfRule type="duplicateValues" dxfId="0" priority="84"/>
  </conditionalFormatting>
  <conditionalFormatting sqref="D30">
    <cfRule type="duplicateValues" dxfId="0" priority="85"/>
  </conditionalFormatting>
  <conditionalFormatting sqref="E30">
    <cfRule type="duplicateValues" dxfId="0" priority="83"/>
  </conditionalFormatting>
  <conditionalFormatting sqref="C31">
    <cfRule type="duplicateValues" dxfId="0" priority="79"/>
  </conditionalFormatting>
  <conditionalFormatting sqref="D31">
    <cfRule type="duplicateValues" dxfId="0" priority="78"/>
  </conditionalFormatting>
  <conditionalFormatting sqref="E31">
    <cfRule type="duplicateValues" dxfId="0" priority="77"/>
  </conditionalFormatting>
  <conditionalFormatting sqref="D32">
    <cfRule type="duplicateValues" dxfId="0" priority="73"/>
  </conditionalFormatting>
  <conditionalFormatting sqref="T32">
    <cfRule type="cellIs" dxfId="1" priority="75" operator="lessThan">
      <formula>400</formula>
    </cfRule>
    <cfRule type="cellIs" dxfId="1" priority="74" operator="lessThan">
      <formula>500</formula>
    </cfRule>
  </conditionalFormatting>
  <conditionalFormatting sqref="D33">
    <cfRule type="duplicateValues" dxfId="0" priority="72"/>
  </conditionalFormatting>
  <conditionalFormatting sqref="T33">
    <cfRule type="cellIs" dxfId="1" priority="64" operator="lessThan">
      <formula>400</formula>
    </cfRule>
    <cfRule type="cellIs" dxfId="1" priority="63" operator="lessThan">
      <formula>500</formula>
    </cfRule>
  </conditionalFormatting>
  <conditionalFormatting sqref="T34">
    <cfRule type="cellIs" dxfId="1" priority="70" operator="lessThan">
      <formula>400</formula>
    </cfRule>
    <cfRule type="cellIs" dxfId="1" priority="69" operator="lessThan">
      <formula>500</formula>
    </cfRule>
  </conditionalFormatting>
  <conditionalFormatting sqref="T35">
    <cfRule type="cellIs" dxfId="1" priority="67" operator="lessThan">
      <formula>400</formula>
    </cfRule>
    <cfRule type="cellIs" dxfId="1" priority="66" operator="lessThan">
      <formula>500</formula>
    </cfRule>
  </conditionalFormatting>
  <conditionalFormatting sqref="D36">
    <cfRule type="duplicateValues" dxfId="0" priority="58"/>
  </conditionalFormatting>
  <conditionalFormatting sqref="E36">
    <cfRule type="duplicateValues" dxfId="0" priority="57"/>
  </conditionalFormatting>
  <conditionalFormatting sqref="H36">
    <cfRule type="colorScale" priority="5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T36">
    <cfRule type="cellIs" dxfId="1" priority="60" operator="lessThan">
      <formula>400</formula>
    </cfRule>
    <cfRule type="cellIs" dxfId="1" priority="59" operator="lessThan">
      <formula>500</formula>
    </cfRule>
  </conditionalFormatting>
  <conditionalFormatting sqref="D37">
    <cfRule type="duplicateValues" dxfId="0" priority="51"/>
  </conditionalFormatting>
  <conditionalFormatting sqref="E37">
    <cfRule type="duplicateValues" dxfId="0" priority="50"/>
  </conditionalFormatting>
  <conditionalFormatting sqref="H37">
    <cfRule type="colorScale" priority="4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T37">
    <cfRule type="cellIs" dxfId="1" priority="53" operator="lessThan">
      <formula>400</formula>
    </cfRule>
    <cfRule type="cellIs" dxfId="1" priority="52" operator="lessThan">
      <formula>500</formula>
    </cfRule>
  </conditionalFormatting>
  <conditionalFormatting sqref="T38">
    <cfRule type="cellIs" dxfId="1" priority="46" operator="lessThan">
      <formula>400</formula>
    </cfRule>
    <cfRule type="cellIs" dxfId="1" priority="45" operator="lessThan">
      <formula>500</formula>
    </cfRule>
  </conditionalFormatting>
  <conditionalFormatting sqref="T39">
    <cfRule type="cellIs" dxfId="1" priority="41" operator="lessThan">
      <formula>360</formula>
    </cfRule>
    <cfRule type="cellIs" dxfId="1" priority="40" operator="lessThan">
      <formula>400</formula>
    </cfRule>
    <cfRule type="cellIs" dxfId="1" priority="39" operator="lessThan">
      <formula>500</formula>
    </cfRule>
  </conditionalFormatting>
  <conditionalFormatting sqref="D40">
    <cfRule type="duplicateValues" dxfId="0" priority="22"/>
  </conditionalFormatting>
  <conditionalFormatting sqref="E40">
    <cfRule type="duplicateValues" dxfId="0" priority="21"/>
  </conditionalFormatting>
  <conditionalFormatting sqref="H40">
    <cfRule type="colorScale" priority="2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T40">
    <cfRule type="cellIs" dxfId="1" priority="26" operator="lessThan">
      <formula>400</formula>
    </cfRule>
    <cfRule type="cellIs" dxfId="1" priority="23" operator="lessThan">
      <formula>500</formula>
    </cfRule>
  </conditionalFormatting>
  <conditionalFormatting sqref="T6:T9">
    <cfRule type="cellIs" dxfId="1" priority="138" operator="lessThan">
      <formula>360</formula>
    </cfRule>
    <cfRule type="cellIs" dxfId="1" priority="137" operator="lessThan">
      <formula>400</formula>
    </cfRule>
    <cfRule type="cellIs" dxfId="1" priority="136" operator="lessThan">
      <formula>500</formula>
    </cfRule>
  </conditionalFormatting>
  <conditionalFormatting sqref="T21:T23">
    <cfRule type="cellIs" dxfId="1" priority="112" operator="lessThan">
      <formula>400</formula>
    </cfRule>
    <cfRule type="cellIs" dxfId="1" priority="111" operator="lessThan">
      <formula>500</formula>
    </cfRule>
  </conditionalFormatting>
  <conditionalFormatting sqref="T24:T29">
    <cfRule type="cellIs" dxfId="1" priority="104" operator="lessThan">
      <formula>400</formula>
    </cfRule>
    <cfRule type="cellIs" dxfId="1" priority="103" operator="lessThan">
      <formula>500</formula>
    </cfRule>
  </conditionalFormatting>
  <conditionalFormatting sqref="T30:T31">
    <cfRule type="cellIs" dxfId="1" priority="82" operator="lessThan">
      <formula>400</formula>
    </cfRule>
    <cfRule type="cellIs" dxfId="1" priority="81" operator="lessThan">
      <formula>500</formula>
    </cfRule>
  </conditionalFormatting>
  <conditionalFormatting sqref="T1:T2 T10:T14 T41:T1048576">
    <cfRule type="cellIs" dxfId="1" priority="162" operator="lessThan">
      <formula>360</formula>
    </cfRule>
    <cfRule type="cellIs" dxfId="1" priority="161" operator="lessThan">
      <formula>400</formula>
    </cfRule>
    <cfRule type="cellIs" dxfId="1" priority="158" operator="lessThan">
      <formula>500</formula>
    </cfRule>
  </conditionalFormatting>
  <hyperlinks>
    <hyperlink ref="M30" r:id="rId1" display="黄冈市" tooltip="https://baike.baidu.com/item/%E9%BB%84%E5%86%88%E5%B8%82/1457985?fromModule=lemma_inlink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3"/>
  <sheetViews>
    <sheetView tabSelected="1" topLeftCell="A34" workbookViewId="0">
      <selection activeCell="O7" sqref="O7"/>
    </sheetView>
  </sheetViews>
  <sheetFormatPr defaultColWidth="9" defaultRowHeight="14.4"/>
  <cols>
    <col min="11" max="11" width="8.77777777777778" customWidth="1"/>
    <col min="12" max="12" width="10.6666666666667" customWidth="1"/>
    <col min="13" max="13" width="14.3333333333333" customWidth="1"/>
    <col min="21" max="21" width="17" customWidth="1"/>
    <col min="23" max="24" width="12.4444444444444"/>
  </cols>
  <sheetData>
    <row r="1" ht="16.2" spans="1:2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8" t="s">
        <v>2</v>
      </c>
      <c r="U1" s="48"/>
      <c r="V1" s="48"/>
      <c r="W1" s="49" t="s">
        <v>3</v>
      </c>
      <c r="X1" s="50"/>
      <c r="Y1" s="51"/>
    </row>
    <row r="2" ht="65.55" spans="1:25">
      <c r="A2" s="52"/>
      <c r="B2" s="53" t="s">
        <v>4</v>
      </c>
      <c r="C2" s="54" t="s">
        <v>5</v>
      </c>
      <c r="D2" s="55" t="s">
        <v>6</v>
      </c>
      <c r="E2" s="56" t="s">
        <v>7</v>
      </c>
      <c r="F2" s="57" t="s">
        <v>8</v>
      </c>
      <c r="G2" s="57" t="s">
        <v>9</v>
      </c>
      <c r="H2" s="55" t="s">
        <v>10</v>
      </c>
      <c r="I2" s="55" t="s">
        <v>11</v>
      </c>
      <c r="J2" s="58" t="s">
        <v>12</v>
      </c>
      <c r="K2" s="59" t="s">
        <v>13</v>
      </c>
      <c r="L2" s="44" t="s">
        <v>14</v>
      </c>
      <c r="M2" s="44" t="s">
        <v>15</v>
      </c>
      <c r="N2" s="44" t="s">
        <v>16</v>
      </c>
      <c r="O2" s="44" t="s">
        <v>17</v>
      </c>
      <c r="P2" s="44" t="s">
        <v>18</v>
      </c>
      <c r="Q2" s="44" t="s">
        <v>19</v>
      </c>
      <c r="R2" s="44" t="s">
        <v>20</v>
      </c>
      <c r="S2" s="44" t="s">
        <v>15</v>
      </c>
      <c r="T2" s="60" t="s">
        <v>21</v>
      </c>
      <c r="U2" s="61" t="s">
        <v>22</v>
      </c>
      <c r="V2" s="62" t="s">
        <v>23</v>
      </c>
      <c r="W2" s="63" t="s">
        <v>24</v>
      </c>
      <c r="X2" s="55" t="s">
        <v>25</v>
      </c>
      <c r="Y2" s="64" t="s">
        <v>26</v>
      </c>
    </row>
    <row r="3" ht="26" customHeight="1" spans="1:25">
      <c r="A3" s="65">
        <f t="shared" ref="A3:A53" si="0">ROW()-2</f>
        <v>1</v>
      </c>
      <c r="B3" s="65">
        <f t="shared" ref="B3:B53" si="1">ROW()-2</f>
        <v>1</v>
      </c>
      <c r="C3" s="66" t="s">
        <v>418</v>
      </c>
      <c r="D3" s="67" t="s">
        <v>419</v>
      </c>
      <c r="E3" s="68">
        <v>45409</v>
      </c>
      <c r="F3" s="69" t="s">
        <v>420</v>
      </c>
      <c r="G3" s="70" t="s">
        <v>421</v>
      </c>
      <c r="H3" s="71">
        <f ca="1" t="shared" ref="H3:H24" si="2">DATEDIF(TEXT(MID(K3,7,8),"0-00-00"),TODAY(),"y")</f>
        <v>49</v>
      </c>
      <c r="I3" s="72" t="s">
        <v>31</v>
      </c>
      <c r="J3" s="73" t="s">
        <v>32</v>
      </c>
      <c r="K3" s="154" t="s">
        <v>422</v>
      </c>
      <c r="L3" s="75" t="str">
        <f t="shared" ref="L3:L36" si="3">MID(K3,7,8)</f>
        <v>19761110</v>
      </c>
      <c r="M3" s="69">
        <v>13693937892</v>
      </c>
      <c r="N3" s="69" t="s">
        <v>118</v>
      </c>
      <c r="O3" s="76"/>
      <c r="P3" s="69"/>
      <c r="Q3" s="69" t="s">
        <v>423</v>
      </c>
      <c r="R3" s="69" t="s">
        <v>424</v>
      </c>
      <c r="S3" s="69">
        <v>14768133142</v>
      </c>
      <c r="T3" s="68" t="s">
        <v>425</v>
      </c>
      <c r="U3" s="77">
        <v>46528</v>
      </c>
      <c r="V3" s="78">
        <f ca="1" t="shared" ref="V3:V43" si="4">U3-TODAY()</f>
        <v>438</v>
      </c>
      <c r="W3" s="79">
        <v>45575</v>
      </c>
      <c r="X3" s="79">
        <v>45576</v>
      </c>
      <c r="Y3" s="80">
        <f ca="1" t="shared" ref="Y3:Y53" si="5">TODAY()-X3</f>
        <v>514</v>
      </c>
    </row>
    <row r="4" ht="26" customHeight="1" spans="1:25">
      <c r="A4" s="65">
        <f t="shared" si="0"/>
        <v>2</v>
      </c>
      <c r="B4" s="65">
        <f t="shared" si="1"/>
        <v>2</v>
      </c>
      <c r="C4" s="66" t="s">
        <v>426</v>
      </c>
      <c r="D4" s="67" t="s">
        <v>427</v>
      </c>
      <c r="E4" s="68">
        <v>33101</v>
      </c>
      <c r="F4" s="69" t="s">
        <v>420</v>
      </c>
      <c r="G4" s="70" t="s">
        <v>421</v>
      </c>
      <c r="H4" s="71">
        <f ca="1" t="shared" si="2"/>
        <v>52</v>
      </c>
      <c r="I4" s="72" t="s">
        <v>31</v>
      </c>
      <c r="J4" s="73" t="s">
        <v>32</v>
      </c>
      <c r="K4" s="154" t="s">
        <v>428</v>
      </c>
      <c r="L4" s="75" t="str">
        <f t="shared" si="3"/>
        <v>19731005</v>
      </c>
      <c r="M4" s="69">
        <v>13563737643</v>
      </c>
      <c r="N4" s="69" t="s">
        <v>44</v>
      </c>
      <c r="O4" s="76"/>
      <c r="P4" s="69"/>
      <c r="Q4" s="69" t="s">
        <v>429</v>
      </c>
      <c r="R4" s="69" t="s">
        <v>430</v>
      </c>
      <c r="S4" s="69">
        <v>18264748996</v>
      </c>
      <c r="T4" s="68" t="s">
        <v>431</v>
      </c>
      <c r="U4" s="77">
        <v>48120</v>
      </c>
      <c r="V4" s="78">
        <f ca="1" t="shared" si="4"/>
        <v>2030</v>
      </c>
      <c r="W4" s="79">
        <v>45575</v>
      </c>
      <c r="X4" s="79">
        <v>45576</v>
      </c>
      <c r="Y4" s="80">
        <f ca="1" t="shared" si="5"/>
        <v>514</v>
      </c>
    </row>
    <row r="5" ht="26" customHeight="1" spans="1:25">
      <c r="A5" s="65">
        <f t="shared" si="0"/>
        <v>3</v>
      </c>
      <c r="B5" s="65">
        <f t="shared" si="1"/>
        <v>3</v>
      </c>
      <c r="C5" s="66" t="s">
        <v>432</v>
      </c>
      <c r="D5" s="67" t="s">
        <v>433</v>
      </c>
      <c r="E5" s="68">
        <v>45410</v>
      </c>
      <c r="F5" s="69" t="s">
        <v>420</v>
      </c>
      <c r="G5" s="70" t="s">
        <v>421</v>
      </c>
      <c r="H5" s="71">
        <f ca="1" t="shared" si="2"/>
        <v>43</v>
      </c>
      <c r="I5" s="72" t="s">
        <v>31</v>
      </c>
      <c r="J5" s="73" t="s">
        <v>32</v>
      </c>
      <c r="K5" s="154" t="s">
        <v>434</v>
      </c>
      <c r="L5" s="75" t="str">
        <f t="shared" si="3"/>
        <v>19821104</v>
      </c>
      <c r="M5" s="69">
        <v>18764789993</v>
      </c>
      <c r="N5" s="69" t="s">
        <v>44</v>
      </c>
      <c r="O5" s="76"/>
      <c r="P5" s="69"/>
      <c r="Q5" s="69" t="s">
        <v>429</v>
      </c>
      <c r="R5" s="69" t="s">
        <v>435</v>
      </c>
      <c r="S5" s="69">
        <v>13563737643</v>
      </c>
      <c r="T5" s="68" t="s">
        <v>436</v>
      </c>
      <c r="U5" s="77">
        <v>48674</v>
      </c>
      <c r="V5" s="78">
        <f ca="1" t="shared" si="4"/>
        <v>2584</v>
      </c>
      <c r="W5" s="79">
        <v>45575</v>
      </c>
      <c r="X5" s="79">
        <v>45576</v>
      </c>
      <c r="Y5" s="80">
        <f ca="1" t="shared" si="5"/>
        <v>514</v>
      </c>
    </row>
    <row r="6" ht="26" customHeight="1" spans="1:25">
      <c r="A6" s="65">
        <f t="shared" si="0"/>
        <v>4</v>
      </c>
      <c r="B6" s="65">
        <f t="shared" si="1"/>
        <v>4</v>
      </c>
      <c r="C6" s="66" t="s">
        <v>437</v>
      </c>
      <c r="D6" s="67" t="s">
        <v>438</v>
      </c>
      <c r="E6" s="68">
        <v>11758</v>
      </c>
      <c r="F6" s="69" t="s">
        <v>420</v>
      </c>
      <c r="G6" s="70" t="s">
        <v>421</v>
      </c>
      <c r="H6" s="71">
        <f ca="1" t="shared" si="2"/>
        <v>42</v>
      </c>
      <c r="I6" s="72" t="s">
        <v>31</v>
      </c>
      <c r="J6" s="73" t="s">
        <v>32</v>
      </c>
      <c r="K6" s="154" t="s">
        <v>439</v>
      </c>
      <c r="L6" s="75" t="str">
        <f t="shared" si="3"/>
        <v>19830607</v>
      </c>
      <c r="M6" s="69">
        <v>15069756140</v>
      </c>
      <c r="N6" s="69" t="s">
        <v>44</v>
      </c>
      <c r="O6" s="76"/>
      <c r="P6" s="69"/>
      <c r="Q6" s="69" t="s">
        <v>440</v>
      </c>
      <c r="R6" s="69" t="s">
        <v>441</v>
      </c>
      <c r="S6" s="69">
        <v>18764789993</v>
      </c>
      <c r="T6" s="68" t="s">
        <v>442</v>
      </c>
      <c r="U6" s="77">
        <v>48940</v>
      </c>
      <c r="V6" s="78">
        <f ca="1" t="shared" si="4"/>
        <v>2850</v>
      </c>
      <c r="W6" s="79">
        <v>45575</v>
      </c>
      <c r="X6" s="79">
        <v>45576</v>
      </c>
      <c r="Y6" s="80">
        <f ca="1" t="shared" si="5"/>
        <v>514</v>
      </c>
    </row>
    <row r="7" ht="26" customHeight="1" spans="1:25">
      <c r="A7" s="65">
        <f t="shared" si="0"/>
        <v>5</v>
      </c>
      <c r="B7" s="65">
        <f t="shared" si="1"/>
        <v>5</v>
      </c>
      <c r="C7" s="66" t="s">
        <v>443</v>
      </c>
      <c r="D7" s="67" t="s">
        <v>444</v>
      </c>
      <c r="E7" s="68">
        <v>31768</v>
      </c>
      <c r="F7" s="69" t="s">
        <v>420</v>
      </c>
      <c r="G7" s="70" t="s">
        <v>421</v>
      </c>
      <c r="H7" s="71">
        <f ca="1" t="shared" si="2"/>
        <v>54</v>
      </c>
      <c r="I7" s="72" t="s">
        <v>31</v>
      </c>
      <c r="J7" s="73" t="s">
        <v>32</v>
      </c>
      <c r="K7" s="154" t="s">
        <v>445</v>
      </c>
      <c r="L7" s="75" t="str">
        <f t="shared" si="3"/>
        <v>19710406</v>
      </c>
      <c r="M7" s="69">
        <v>18238334691</v>
      </c>
      <c r="N7" s="69" t="s">
        <v>118</v>
      </c>
      <c r="O7" s="76"/>
      <c r="P7" s="69"/>
      <c r="Q7" s="69" t="s">
        <v>446</v>
      </c>
      <c r="R7" s="69" t="s">
        <v>447</v>
      </c>
      <c r="S7" s="69">
        <v>15069756140</v>
      </c>
      <c r="T7" s="68" t="s">
        <v>448</v>
      </c>
      <c r="U7" s="77">
        <v>46985</v>
      </c>
      <c r="V7" s="78">
        <f ca="1" t="shared" si="4"/>
        <v>895</v>
      </c>
      <c r="W7" s="79">
        <v>45594</v>
      </c>
      <c r="X7" s="79">
        <v>45595</v>
      </c>
      <c r="Y7" s="80">
        <f ca="1" t="shared" si="5"/>
        <v>495</v>
      </c>
    </row>
    <row r="8" ht="26" customHeight="1" spans="1:25">
      <c r="A8" s="65">
        <f t="shared" si="0"/>
        <v>6</v>
      </c>
      <c r="B8" s="65">
        <f t="shared" si="1"/>
        <v>6</v>
      </c>
      <c r="C8" s="66" t="s">
        <v>449</v>
      </c>
      <c r="D8" s="67" t="s">
        <v>450</v>
      </c>
      <c r="E8" s="68">
        <v>10443</v>
      </c>
      <c r="F8" s="69" t="s">
        <v>420</v>
      </c>
      <c r="G8" s="70" t="s">
        <v>421</v>
      </c>
      <c r="H8" s="71">
        <f ca="1" t="shared" si="2"/>
        <v>43</v>
      </c>
      <c r="I8" s="72" t="s">
        <v>31</v>
      </c>
      <c r="J8" s="73" t="s">
        <v>32</v>
      </c>
      <c r="K8" s="154" t="s">
        <v>451</v>
      </c>
      <c r="L8" s="75" t="str">
        <f t="shared" si="3"/>
        <v>19821111</v>
      </c>
      <c r="M8" s="69">
        <v>17838273367</v>
      </c>
      <c r="N8" s="69" t="s">
        <v>118</v>
      </c>
      <c r="O8" s="76"/>
      <c r="P8" s="69"/>
      <c r="Q8" s="69" t="s">
        <v>452</v>
      </c>
      <c r="R8" s="69" t="s">
        <v>453</v>
      </c>
      <c r="S8" s="69">
        <v>18238334691</v>
      </c>
      <c r="T8" s="68" t="s">
        <v>454</v>
      </c>
      <c r="U8" s="77">
        <v>48882</v>
      </c>
      <c r="V8" s="78">
        <f ca="1" t="shared" si="4"/>
        <v>2792</v>
      </c>
      <c r="W8" s="79">
        <v>45594</v>
      </c>
      <c r="X8" s="79">
        <v>45595</v>
      </c>
      <c r="Y8" s="80">
        <f ca="1" t="shared" si="5"/>
        <v>495</v>
      </c>
    </row>
    <row r="9" ht="26" customHeight="1" spans="1:25">
      <c r="A9" s="65">
        <f t="shared" si="0"/>
        <v>7</v>
      </c>
      <c r="B9" s="65">
        <f t="shared" si="1"/>
        <v>7</v>
      </c>
      <c r="C9" s="66" t="s">
        <v>455</v>
      </c>
      <c r="D9" s="67" t="s">
        <v>456</v>
      </c>
      <c r="E9" s="68">
        <v>18993</v>
      </c>
      <c r="F9" s="69" t="s">
        <v>420</v>
      </c>
      <c r="G9" s="70" t="s">
        <v>421</v>
      </c>
      <c r="H9" s="71">
        <f ca="1" t="shared" si="2"/>
        <v>52</v>
      </c>
      <c r="I9" s="72" t="s">
        <v>31</v>
      </c>
      <c r="J9" s="73" t="s">
        <v>32</v>
      </c>
      <c r="K9" s="154" t="s">
        <v>457</v>
      </c>
      <c r="L9" s="75" t="str">
        <f t="shared" si="3"/>
        <v>19740205</v>
      </c>
      <c r="M9" s="69">
        <v>15738041076</v>
      </c>
      <c r="N9" s="69" t="s">
        <v>118</v>
      </c>
      <c r="O9" s="76"/>
      <c r="P9" s="69"/>
      <c r="Q9" s="69" t="s">
        <v>452</v>
      </c>
      <c r="R9" s="69" t="s">
        <v>458</v>
      </c>
      <c r="S9" s="69">
        <v>17838273367</v>
      </c>
      <c r="T9" s="68" t="s">
        <v>459</v>
      </c>
      <c r="U9" s="77">
        <v>48919</v>
      </c>
      <c r="V9" s="78">
        <f ca="1" t="shared" si="4"/>
        <v>2829</v>
      </c>
      <c r="W9" s="79">
        <v>45594</v>
      </c>
      <c r="X9" s="79">
        <v>45595</v>
      </c>
      <c r="Y9" s="80">
        <f ca="1" t="shared" si="5"/>
        <v>495</v>
      </c>
    </row>
    <row r="10" ht="26" customHeight="1" spans="1:25">
      <c r="A10" s="65">
        <f t="shared" si="0"/>
        <v>8</v>
      </c>
      <c r="B10" s="65">
        <f t="shared" si="1"/>
        <v>8</v>
      </c>
      <c r="C10" s="66" t="s">
        <v>460</v>
      </c>
      <c r="D10" s="67" t="s">
        <v>461</v>
      </c>
      <c r="E10" s="68">
        <v>25780</v>
      </c>
      <c r="F10" s="69" t="s">
        <v>420</v>
      </c>
      <c r="G10" s="70" t="s">
        <v>421</v>
      </c>
      <c r="H10" s="71">
        <f ca="1" t="shared" si="2"/>
        <v>54</v>
      </c>
      <c r="I10" s="72" t="s">
        <v>31</v>
      </c>
      <c r="J10" s="73" t="s">
        <v>32</v>
      </c>
      <c r="K10" s="154" t="s">
        <v>462</v>
      </c>
      <c r="L10" s="75" t="str">
        <f t="shared" si="3"/>
        <v>19710515</v>
      </c>
      <c r="M10" s="69">
        <v>18236039110</v>
      </c>
      <c r="N10" s="69" t="s">
        <v>118</v>
      </c>
      <c r="O10" s="76"/>
      <c r="P10" s="69"/>
      <c r="Q10" s="69" t="s">
        <v>463</v>
      </c>
      <c r="R10" s="69" t="s">
        <v>464</v>
      </c>
      <c r="S10" s="69">
        <v>15738041076</v>
      </c>
      <c r="T10" s="68" t="s">
        <v>465</v>
      </c>
      <c r="U10" s="77">
        <v>48884</v>
      </c>
      <c r="V10" s="78">
        <f ca="1" t="shared" si="4"/>
        <v>2794</v>
      </c>
      <c r="W10" s="79">
        <v>45594</v>
      </c>
      <c r="X10" s="79">
        <v>45595</v>
      </c>
      <c r="Y10" s="80">
        <f ca="1" t="shared" si="5"/>
        <v>495</v>
      </c>
    </row>
    <row r="11" ht="26" customHeight="1" spans="1:25">
      <c r="A11" s="65">
        <f t="shared" si="0"/>
        <v>9</v>
      </c>
      <c r="B11" s="65">
        <f t="shared" si="1"/>
        <v>9</v>
      </c>
      <c r="C11" s="66" t="s">
        <v>466</v>
      </c>
      <c r="D11" s="67" t="s">
        <v>467</v>
      </c>
      <c r="E11" s="68">
        <v>70533</v>
      </c>
      <c r="F11" s="69" t="s">
        <v>420</v>
      </c>
      <c r="G11" s="70" t="s">
        <v>421</v>
      </c>
      <c r="H11" s="71">
        <f ca="1" t="shared" si="2"/>
        <v>36</v>
      </c>
      <c r="I11" s="72" t="s">
        <v>31</v>
      </c>
      <c r="J11" s="73" t="s">
        <v>32</v>
      </c>
      <c r="K11" s="154" t="s">
        <v>468</v>
      </c>
      <c r="L11" s="75" t="str">
        <f t="shared" si="3"/>
        <v>19900219</v>
      </c>
      <c r="M11" s="69">
        <v>15965103641</v>
      </c>
      <c r="N11" s="69" t="s">
        <v>44</v>
      </c>
      <c r="O11" s="76"/>
      <c r="P11" s="69"/>
      <c r="Q11" s="69" t="s">
        <v>469</v>
      </c>
      <c r="R11" s="69" t="s">
        <v>470</v>
      </c>
      <c r="S11" s="69">
        <v>15965103641</v>
      </c>
      <c r="T11" s="68" t="s">
        <v>471</v>
      </c>
      <c r="U11" s="77">
        <v>49133</v>
      </c>
      <c r="V11" s="78">
        <f ca="1" t="shared" si="4"/>
        <v>3043</v>
      </c>
      <c r="W11" s="79">
        <v>45670</v>
      </c>
      <c r="X11" s="79">
        <v>45671</v>
      </c>
      <c r="Y11" s="80">
        <f ca="1" t="shared" si="5"/>
        <v>419</v>
      </c>
    </row>
    <row r="12" ht="26" customHeight="1" spans="1:25">
      <c r="A12" s="65">
        <f t="shared" si="0"/>
        <v>10</v>
      </c>
      <c r="B12" s="65">
        <f t="shared" si="1"/>
        <v>10</v>
      </c>
      <c r="C12" s="66" t="s">
        <v>472</v>
      </c>
      <c r="D12" s="67" t="s">
        <v>473</v>
      </c>
      <c r="E12" s="68">
        <v>70530</v>
      </c>
      <c r="F12" s="69" t="s">
        <v>420</v>
      </c>
      <c r="G12" s="70" t="s">
        <v>421</v>
      </c>
      <c r="H12" s="71">
        <f ca="1" t="shared" si="2"/>
        <v>47</v>
      </c>
      <c r="I12" s="72" t="s">
        <v>31</v>
      </c>
      <c r="J12" s="73" t="s">
        <v>32</v>
      </c>
      <c r="K12" s="154" t="s">
        <v>474</v>
      </c>
      <c r="L12" s="75" t="str">
        <f t="shared" si="3"/>
        <v>19780523</v>
      </c>
      <c r="M12" s="69">
        <v>18769871443</v>
      </c>
      <c r="N12" s="69" t="s">
        <v>44</v>
      </c>
      <c r="O12" s="76"/>
      <c r="P12" s="69"/>
      <c r="Q12" s="69" t="s">
        <v>475</v>
      </c>
      <c r="R12" s="69" t="s">
        <v>476</v>
      </c>
      <c r="S12" s="69">
        <v>18769871443</v>
      </c>
      <c r="T12" s="68" t="s">
        <v>477</v>
      </c>
      <c r="U12" s="77">
        <v>47860</v>
      </c>
      <c r="V12" s="78">
        <f ca="1" t="shared" si="4"/>
        <v>1770</v>
      </c>
      <c r="W12" s="79">
        <v>45670</v>
      </c>
      <c r="X12" s="79">
        <v>45671</v>
      </c>
      <c r="Y12" s="80">
        <f ca="1" t="shared" si="5"/>
        <v>419</v>
      </c>
    </row>
    <row r="13" ht="26" customHeight="1" spans="1:25">
      <c r="A13" s="65">
        <f t="shared" si="0"/>
        <v>11</v>
      </c>
      <c r="B13" s="65">
        <f t="shared" si="1"/>
        <v>11</v>
      </c>
      <c r="C13" s="66" t="s">
        <v>478</v>
      </c>
      <c r="D13" s="67" t="s">
        <v>479</v>
      </c>
      <c r="E13" s="68">
        <v>70532</v>
      </c>
      <c r="F13" s="69" t="s">
        <v>420</v>
      </c>
      <c r="G13" s="70" t="s">
        <v>421</v>
      </c>
      <c r="H13" s="71">
        <f ca="1" t="shared" si="2"/>
        <v>50</v>
      </c>
      <c r="I13" s="72" t="s">
        <v>31</v>
      </c>
      <c r="J13" s="73" t="s">
        <v>32</v>
      </c>
      <c r="K13" s="154" t="s">
        <v>480</v>
      </c>
      <c r="L13" s="75" t="str">
        <f t="shared" si="3"/>
        <v>19760303</v>
      </c>
      <c r="M13" s="69">
        <v>18300499585</v>
      </c>
      <c r="N13" s="69" t="s">
        <v>44</v>
      </c>
      <c r="O13" s="76"/>
      <c r="P13" s="69"/>
      <c r="Q13" s="69" t="s">
        <v>481</v>
      </c>
      <c r="R13" s="69" t="s">
        <v>482</v>
      </c>
      <c r="S13" s="69">
        <v>18300499585</v>
      </c>
      <c r="T13" s="68" t="s">
        <v>483</v>
      </c>
      <c r="U13" s="77">
        <v>49443</v>
      </c>
      <c r="V13" s="78">
        <f ca="1" t="shared" si="4"/>
        <v>3353</v>
      </c>
      <c r="W13" s="79">
        <v>45670</v>
      </c>
      <c r="X13" s="79">
        <v>45671</v>
      </c>
      <c r="Y13" s="80">
        <f ca="1" t="shared" si="5"/>
        <v>419</v>
      </c>
    </row>
    <row r="14" ht="26" customHeight="1" spans="1:25">
      <c r="A14" s="65">
        <f t="shared" si="0"/>
        <v>12</v>
      </c>
      <c r="B14" s="65">
        <f t="shared" si="1"/>
        <v>12</v>
      </c>
      <c r="C14" s="66" t="s">
        <v>484</v>
      </c>
      <c r="D14" s="67" t="s">
        <v>485</v>
      </c>
      <c r="E14" s="68">
        <v>70527</v>
      </c>
      <c r="F14" s="69" t="s">
        <v>420</v>
      </c>
      <c r="G14" s="70" t="s">
        <v>421</v>
      </c>
      <c r="H14" s="71">
        <f ca="1" t="shared" si="2"/>
        <v>47</v>
      </c>
      <c r="I14" s="72" t="s">
        <v>31</v>
      </c>
      <c r="J14" s="73" t="s">
        <v>32</v>
      </c>
      <c r="K14" s="74" t="s">
        <v>486</v>
      </c>
      <c r="L14" s="75" t="str">
        <f t="shared" si="3"/>
        <v>19780825</v>
      </c>
      <c r="M14" s="69">
        <v>15020767280</v>
      </c>
      <c r="N14" s="69" t="s">
        <v>44</v>
      </c>
      <c r="O14" s="76"/>
      <c r="P14" s="69"/>
      <c r="Q14" s="69" t="s">
        <v>487</v>
      </c>
      <c r="R14" s="69" t="s">
        <v>488</v>
      </c>
      <c r="S14" s="69">
        <v>15020767280</v>
      </c>
      <c r="T14" s="68" t="s">
        <v>489</v>
      </c>
      <c r="U14" s="77">
        <v>48286</v>
      </c>
      <c r="V14" s="78">
        <f ca="1" t="shared" si="4"/>
        <v>2196</v>
      </c>
      <c r="W14" s="79">
        <v>45670</v>
      </c>
      <c r="X14" s="79">
        <v>45671</v>
      </c>
      <c r="Y14" s="80">
        <f ca="1" t="shared" si="5"/>
        <v>419</v>
      </c>
    </row>
    <row r="15" ht="26" customHeight="1" spans="1:25">
      <c r="A15" s="65">
        <f t="shared" si="0"/>
        <v>13</v>
      </c>
      <c r="B15" s="65">
        <f t="shared" si="1"/>
        <v>13</v>
      </c>
      <c r="C15" s="66" t="s">
        <v>490</v>
      </c>
      <c r="D15" s="67" t="s">
        <v>491</v>
      </c>
      <c r="E15" s="68">
        <v>70534</v>
      </c>
      <c r="F15" s="69" t="s">
        <v>420</v>
      </c>
      <c r="G15" s="70" t="s">
        <v>421</v>
      </c>
      <c r="H15" s="71">
        <f ca="1" t="shared" si="2"/>
        <v>45</v>
      </c>
      <c r="I15" s="72" t="s">
        <v>31</v>
      </c>
      <c r="J15" s="73" t="s">
        <v>32</v>
      </c>
      <c r="K15" s="74" t="s">
        <v>492</v>
      </c>
      <c r="L15" s="75" t="str">
        <f t="shared" si="3"/>
        <v>19800521</v>
      </c>
      <c r="M15" s="69">
        <v>13562417885</v>
      </c>
      <c r="N15" s="69" t="s">
        <v>44</v>
      </c>
      <c r="O15" s="76"/>
      <c r="P15" s="69"/>
      <c r="Q15" s="69" t="s">
        <v>493</v>
      </c>
      <c r="R15" s="69" t="s">
        <v>494</v>
      </c>
      <c r="S15" s="69">
        <v>13562417885</v>
      </c>
      <c r="T15" s="68" t="s">
        <v>495</v>
      </c>
      <c r="U15" s="77">
        <v>46463</v>
      </c>
      <c r="V15" s="78">
        <f ca="1" t="shared" si="4"/>
        <v>373</v>
      </c>
      <c r="W15" s="79">
        <v>45670</v>
      </c>
      <c r="X15" s="79">
        <v>45671</v>
      </c>
      <c r="Y15" s="80">
        <f ca="1" t="shared" si="5"/>
        <v>419</v>
      </c>
    </row>
    <row r="16" ht="26" customHeight="1" spans="1:25">
      <c r="A16" s="65">
        <f t="shared" si="0"/>
        <v>14</v>
      </c>
      <c r="B16" s="65">
        <f t="shared" si="1"/>
        <v>14</v>
      </c>
      <c r="C16" s="66" t="s">
        <v>496</v>
      </c>
      <c r="D16" s="67" t="s">
        <v>497</v>
      </c>
      <c r="E16" s="68">
        <v>70535</v>
      </c>
      <c r="F16" s="69" t="s">
        <v>420</v>
      </c>
      <c r="G16" s="70" t="s">
        <v>421</v>
      </c>
      <c r="H16" s="71">
        <f ca="1" t="shared" si="2"/>
        <v>41</v>
      </c>
      <c r="I16" s="72" t="s">
        <v>31</v>
      </c>
      <c r="J16" s="73" t="s">
        <v>32</v>
      </c>
      <c r="K16" s="74" t="s">
        <v>498</v>
      </c>
      <c r="L16" s="75" t="str">
        <f t="shared" si="3"/>
        <v>19841029</v>
      </c>
      <c r="M16" s="69">
        <v>18353839092</v>
      </c>
      <c r="N16" s="69" t="s">
        <v>44</v>
      </c>
      <c r="O16" s="76"/>
      <c r="P16" s="69"/>
      <c r="Q16" s="69" t="s">
        <v>499</v>
      </c>
      <c r="R16" s="69" t="s">
        <v>500</v>
      </c>
      <c r="S16" s="69">
        <v>18353839092</v>
      </c>
      <c r="T16" s="68" t="s">
        <v>501</v>
      </c>
      <c r="U16" s="77">
        <v>46966</v>
      </c>
      <c r="V16" s="78">
        <f ca="1" t="shared" si="4"/>
        <v>876</v>
      </c>
      <c r="W16" s="79">
        <v>45670</v>
      </c>
      <c r="X16" s="79">
        <v>45671</v>
      </c>
      <c r="Y16" s="80">
        <f ca="1" t="shared" si="5"/>
        <v>419</v>
      </c>
    </row>
    <row r="17" ht="26" customHeight="1" spans="1:25">
      <c r="A17" s="65">
        <f t="shared" si="0"/>
        <v>15</v>
      </c>
      <c r="B17" s="65">
        <f t="shared" si="1"/>
        <v>15</v>
      </c>
      <c r="C17" s="66" t="s">
        <v>502</v>
      </c>
      <c r="D17" s="67" t="s">
        <v>503</v>
      </c>
      <c r="E17" s="68">
        <v>70526</v>
      </c>
      <c r="F17" s="69" t="s">
        <v>420</v>
      </c>
      <c r="G17" s="70" t="s">
        <v>421</v>
      </c>
      <c r="H17" s="71">
        <f ca="1" t="shared" si="2"/>
        <v>42</v>
      </c>
      <c r="I17" s="72" t="s">
        <v>31</v>
      </c>
      <c r="J17" s="73" t="s">
        <v>32</v>
      </c>
      <c r="K17" s="74" t="s">
        <v>504</v>
      </c>
      <c r="L17" s="75" t="str">
        <f t="shared" si="3"/>
        <v>19830806</v>
      </c>
      <c r="M17" s="69">
        <v>15264781135</v>
      </c>
      <c r="N17" s="69" t="s">
        <v>44</v>
      </c>
      <c r="O17" s="76"/>
      <c r="P17" s="69"/>
      <c r="Q17" s="69" t="s">
        <v>505</v>
      </c>
      <c r="R17" s="69" t="s">
        <v>506</v>
      </c>
      <c r="S17" s="69">
        <v>15264781135</v>
      </c>
      <c r="T17" s="68" t="s">
        <v>507</v>
      </c>
      <c r="U17" s="77">
        <v>48952</v>
      </c>
      <c r="V17" s="78">
        <f ca="1" t="shared" si="4"/>
        <v>2862</v>
      </c>
      <c r="W17" s="79">
        <v>45670</v>
      </c>
      <c r="X17" s="79">
        <v>45671</v>
      </c>
      <c r="Y17" s="80">
        <f ca="1" t="shared" si="5"/>
        <v>419</v>
      </c>
    </row>
    <row r="18" ht="26" customHeight="1" spans="1:25">
      <c r="A18" s="65">
        <f t="shared" si="0"/>
        <v>16</v>
      </c>
      <c r="B18" s="65">
        <f t="shared" si="1"/>
        <v>16</v>
      </c>
      <c r="C18" s="66" t="s">
        <v>508</v>
      </c>
      <c r="D18" s="67" t="s">
        <v>509</v>
      </c>
      <c r="E18" s="68">
        <v>70531</v>
      </c>
      <c r="F18" s="69" t="s">
        <v>420</v>
      </c>
      <c r="G18" s="70" t="s">
        <v>421</v>
      </c>
      <c r="H18" s="71">
        <f ca="1" t="shared" si="2"/>
        <v>53</v>
      </c>
      <c r="I18" s="72" t="s">
        <v>31</v>
      </c>
      <c r="J18" s="73" t="s">
        <v>32</v>
      </c>
      <c r="K18" s="74" t="s">
        <v>510</v>
      </c>
      <c r="L18" s="75" t="str">
        <f t="shared" si="3"/>
        <v>19721017</v>
      </c>
      <c r="M18" s="69">
        <v>18369764885</v>
      </c>
      <c r="N18" s="69" t="s">
        <v>44</v>
      </c>
      <c r="O18" s="76"/>
      <c r="P18" s="69"/>
      <c r="Q18" s="69" t="s">
        <v>511</v>
      </c>
      <c r="R18" s="69" t="s">
        <v>512</v>
      </c>
      <c r="S18" s="69">
        <v>18369764885</v>
      </c>
      <c r="T18" s="68" t="s">
        <v>513</v>
      </c>
      <c r="U18" s="77">
        <v>48612</v>
      </c>
      <c r="V18" s="78">
        <f ca="1" t="shared" si="4"/>
        <v>2522</v>
      </c>
      <c r="W18" s="79">
        <v>45670</v>
      </c>
      <c r="X18" s="79">
        <v>45671</v>
      </c>
      <c r="Y18" s="80">
        <f ca="1" t="shared" si="5"/>
        <v>419</v>
      </c>
    </row>
    <row r="19" ht="26" customHeight="1" spans="1:25">
      <c r="A19" s="65">
        <f t="shared" si="0"/>
        <v>17</v>
      </c>
      <c r="B19" s="65">
        <f t="shared" si="1"/>
        <v>17</v>
      </c>
      <c r="C19" s="66" t="s">
        <v>514</v>
      </c>
      <c r="D19" s="67" t="s">
        <v>515</v>
      </c>
      <c r="E19" s="68">
        <v>70529</v>
      </c>
      <c r="F19" s="69" t="s">
        <v>420</v>
      </c>
      <c r="G19" s="70" t="s">
        <v>421</v>
      </c>
      <c r="H19" s="71">
        <f ca="1" t="shared" si="2"/>
        <v>55</v>
      </c>
      <c r="I19" s="72" t="s">
        <v>31</v>
      </c>
      <c r="J19" s="73" t="s">
        <v>32</v>
      </c>
      <c r="K19" s="74" t="s">
        <v>516</v>
      </c>
      <c r="L19" s="75" t="str">
        <f t="shared" si="3"/>
        <v>19700910</v>
      </c>
      <c r="M19" s="69">
        <v>15036317766</v>
      </c>
      <c r="N19" s="69" t="s">
        <v>517</v>
      </c>
      <c r="O19" s="76"/>
      <c r="P19" s="69"/>
      <c r="Q19" s="69" t="s">
        <v>518</v>
      </c>
      <c r="R19" s="69" t="s">
        <v>519</v>
      </c>
      <c r="S19" s="69">
        <v>15036317766</v>
      </c>
      <c r="T19" s="68" t="s">
        <v>520</v>
      </c>
      <c r="U19" s="77">
        <v>46746</v>
      </c>
      <c r="V19" s="78">
        <f ca="1" t="shared" si="4"/>
        <v>656</v>
      </c>
      <c r="W19" s="79">
        <v>45670</v>
      </c>
      <c r="X19" s="79">
        <v>45671</v>
      </c>
      <c r="Y19" s="80">
        <f ca="1" t="shared" si="5"/>
        <v>419</v>
      </c>
    </row>
    <row r="20" ht="26" customHeight="1" spans="1:25">
      <c r="A20" s="65">
        <f t="shared" si="0"/>
        <v>18</v>
      </c>
      <c r="B20" s="65">
        <f t="shared" si="1"/>
        <v>18</v>
      </c>
      <c r="C20" s="66" t="s">
        <v>521</v>
      </c>
      <c r="D20" s="67" t="s">
        <v>522</v>
      </c>
      <c r="E20" s="68">
        <v>71047</v>
      </c>
      <c r="F20" s="69" t="s">
        <v>420</v>
      </c>
      <c r="G20" s="70" t="s">
        <v>421</v>
      </c>
      <c r="H20" s="71">
        <f ca="1" t="shared" si="2"/>
        <v>53</v>
      </c>
      <c r="I20" s="72" t="s">
        <v>31</v>
      </c>
      <c r="J20" s="73" t="s">
        <v>32</v>
      </c>
      <c r="K20" s="74" t="s">
        <v>523</v>
      </c>
      <c r="L20" s="75" t="str">
        <f t="shared" si="3"/>
        <v>19721016</v>
      </c>
      <c r="M20" s="69">
        <v>15563789259</v>
      </c>
      <c r="N20" s="69" t="s">
        <v>44</v>
      </c>
      <c r="O20" s="76"/>
      <c r="P20" s="69"/>
      <c r="Q20" s="69" t="s">
        <v>524</v>
      </c>
      <c r="R20" s="69" t="s">
        <v>525</v>
      </c>
      <c r="S20" s="69">
        <v>15563789259</v>
      </c>
      <c r="T20" s="68" t="s">
        <v>526</v>
      </c>
      <c r="U20" s="77">
        <v>48703</v>
      </c>
      <c r="V20" s="78">
        <f ca="1" t="shared" si="4"/>
        <v>2613</v>
      </c>
      <c r="W20" s="79">
        <v>45697</v>
      </c>
      <c r="X20" s="79">
        <v>45698</v>
      </c>
      <c r="Y20" s="80">
        <f ca="1" t="shared" si="5"/>
        <v>392</v>
      </c>
    </row>
    <row r="21" ht="26" customHeight="1" spans="1:25">
      <c r="A21" s="65">
        <f t="shared" si="0"/>
        <v>19</v>
      </c>
      <c r="B21" s="65">
        <f t="shared" si="1"/>
        <v>19</v>
      </c>
      <c r="C21" s="66" t="s">
        <v>527</v>
      </c>
      <c r="D21" s="67" t="s">
        <v>528</v>
      </c>
      <c r="E21" s="68">
        <v>71044</v>
      </c>
      <c r="F21" s="69" t="s">
        <v>420</v>
      </c>
      <c r="G21" s="70" t="s">
        <v>421</v>
      </c>
      <c r="H21" s="71">
        <f ca="1" t="shared" si="2"/>
        <v>52</v>
      </c>
      <c r="I21" s="72" t="s">
        <v>31</v>
      </c>
      <c r="J21" s="73" t="s">
        <v>32</v>
      </c>
      <c r="K21" s="74" t="s">
        <v>529</v>
      </c>
      <c r="L21" s="75" t="str">
        <f t="shared" si="3"/>
        <v>19731003</v>
      </c>
      <c r="M21" s="69">
        <v>13939303835</v>
      </c>
      <c r="N21" s="69" t="s">
        <v>118</v>
      </c>
      <c r="O21" s="76"/>
      <c r="P21" s="69"/>
      <c r="Q21" s="69" t="s">
        <v>530</v>
      </c>
      <c r="R21" s="69" t="s">
        <v>531</v>
      </c>
      <c r="S21" s="69">
        <v>13939303835</v>
      </c>
      <c r="T21" s="68" t="s">
        <v>532</v>
      </c>
      <c r="U21" s="77">
        <v>49083</v>
      </c>
      <c r="V21" s="78">
        <f ca="1" t="shared" si="4"/>
        <v>2993</v>
      </c>
      <c r="W21" s="79">
        <v>45697</v>
      </c>
      <c r="X21" s="79">
        <v>45698</v>
      </c>
      <c r="Y21" s="80">
        <f ca="1" t="shared" si="5"/>
        <v>392</v>
      </c>
    </row>
    <row r="22" ht="26" customHeight="1" spans="1:25">
      <c r="A22" s="65">
        <f t="shared" si="0"/>
        <v>20</v>
      </c>
      <c r="B22" s="65">
        <f t="shared" si="1"/>
        <v>20</v>
      </c>
      <c r="C22" s="66" t="s">
        <v>533</v>
      </c>
      <c r="D22" s="67" t="s">
        <v>534</v>
      </c>
      <c r="E22" s="68">
        <v>71045</v>
      </c>
      <c r="F22" s="69" t="s">
        <v>420</v>
      </c>
      <c r="G22" s="70" t="s">
        <v>421</v>
      </c>
      <c r="H22" s="71">
        <f ca="1" t="shared" si="2"/>
        <v>42</v>
      </c>
      <c r="I22" s="72" t="s">
        <v>31</v>
      </c>
      <c r="J22" s="73" t="s">
        <v>32</v>
      </c>
      <c r="K22" s="154" t="s">
        <v>535</v>
      </c>
      <c r="L22" s="75" t="str">
        <f t="shared" si="3"/>
        <v>19830418</v>
      </c>
      <c r="M22" s="69">
        <v>13949721860</v>
      </c>
      <c r="N22" s="69" t="s">
        <v>118</v>
      </c>
      <c r="O22" s="76"/>
      <c r="P22" s="69"/>
      <c r="Q22" s="69" t="s">
        <v>536</v>
      </c>
      <c r="R22" s="69" t="s">
        <v>537</v>
      </c>
      <c r="S22" s="69">
        <v>13949721860</v>
      </c>
      <c r="T22" s="68" t="s">
        <v>538</v>
      </c>
      <c r="U22" s="77">
        <v>48619</v>
      </c>
      <c r="V22" s="78">
        <f ca="1" t="shared" si="4"/>
        <v>2529</v>
      </c>
      <c r="W22" s="79">
        <v>45697</v>
      </c>
      <c r="X22" s="79">
        <v>45698</v>
      </c>
      <c r="Y22" s="80">
        <f ca="1" t="shared" si="5"/>
        <v>392</v>
      </c>
    </row>
    <row r="23" ht="26" customHeight="1" spans="1:25">
      <c r="A23" s="65">
        <f t="shared" si="0"/>
        <v>21</v>
      </c>
      <c r="B23" s="65">
        <f t="shared" si="1"/>
        <v>21</v>
      </c>
      <c r="C23" s="66" t="s">
        <v>539</v>
      </c>
      <c r="D23" s="67" t="s">
        <v>540</v>
      </c>
      <c r="E23" s="68">
        <v>71042</v>
      </c>
      <c r="F23" s="69" t="s">
        <v>420</v>
      </c>
      <c r="G23" s="70" t="s">
        <v>421</v>
      </c>
      <c r="H23" s="71">
        <f ca="1" t="shared" si="2"/>
        <v>44</v>
      </c>
      <c r="I23" s="72" t="s">
        <v>31</v>
      </c>
      <c r="J23" s="73" t="s">
        <v>32</v>
      </c>
      <c r="K23" s="154" t="s">
        <v>541</v>
      </c>
      <c r="L23" s="75" t="str">
        <f t="shared" si="3"/>
        <v>19810509</v>
      </c>
      <c r="M23" s="69">
        <v>18266750329</v>
      </c>
      <c r="N23" s="69" t="s">
        <v>44</v>
      </c>
      <c r="O23" s="76"/>
      <c r="P23" s="69"/>
      <c r="Q23" s="69" t="s">
        <v>542</v>
      </c>
      <c r="R23" s="69" t="s">
        <v>543</v>
      </c>
      <c r="S23" s="69">
        <v>18266750329</v>
      </c>
      <c r="T23" s="68" t="s">
        <v>544</v>
      </c>
      <c r="U23" s="77">
        <v>46841</v>
      </c>
      <c r="V23" s="78">
        <f ca="1" t="shared" si="4"/>
        <v>751</v>
      </c>
      <c r="W23" s="79">
        <v>45697</v>
      </c>
      <c r="X23" s="79">
        <v>45698</v>
      </c>
      <c r="Y23" s="80">
        <f ca="1" t="shared" si="5"/>
        <v>392</v>
      </c>
    </row>
    <row r="24" ht="26" customHeight="1" spans="1:25">
      <c r="A24" s="65">
        <f t="shared" si="0"/>
        <v>22</v>
      </c>
      <c r="B24" s="65">
        <f t="shared" si="1"/>
        <v>22</v>
      </c>
      <c r="C24" s="66" t="s">
        <v>545</v>
      </c>
      <c r="D24" s="67" t="s">
        <v>546</v>
      </c>
      <c r="E24" s="68">
        <v>71043</v>
      </c>
      <c r="F24" s="69" t="s">
        <v>420</v>
      </c>
      <c r="G24" s="70" t="s">
        <v>421</v>
      </c>
      <c r="H24" s="71">
        <f ca="1" t="shared" si="2"/>
        <v>45</v>
      </c>
      <c r="I24" s="72" t="s">
        <v>31</v>
      </c>
      <c r="J24" s="73" t="s">
        <v>32</v>
      </c>
      <c r="K24" s="154" t="s">
        <v>547</v>
      </c>
      <c r="L24" s="75" t="str">
        <f t="shared" si="3"/>
        <v>19810130</v>
      </c>
      <c r="M24" s="69">
        <v>15239304299</v>
      </c>
      <c r="N24" s="69" t="s">
        <v>118</v>
      </c>
      <c r="O24" s="76"/>
      <c r="P24" s="69"/>
      <c r="Q24" s="69" t="s">
        <v>548</v>
      </c>
      <c r="R24" s="69" t="s">
        <v>549</v>
      </c>
      <c r="S24" s="69">
        <v>15239304299</v>
      </c>
      <c r="T24" s="68" t="s">
        <v>550</v>
      </c>
      <c r="U24" s="77">
        <v>49122</v>
      </c>
      <c r="V24" s="78">
        <f ca="1" t="shared" si="4"/>
        <v>3032</v>
      </c>
      <c r="W24" s="79">
        <v>45697</v>
      </c>
      <c r="X24" s="79">
        <v>45698</v>
      </c>
      <c r="Y24" s="80">
        <f ca="1" t="shared" si="5"/>
        <v>392</v>
      </c>
    </row>
    <row r="25" ht="26" customHeight="1" spans="1:25">
      <c r="A25" s="65">
        <f t="shared" si="0"/>
        <v>23</v>
      </c>
      <c r="B25" s="65">
        <f t="shared" si="1"/>
        <v>23</v>
      </c>
      <c r="C25" s="66" t="s">
        <v>447</v>
      </c>
      <c r="D25" s="67" t="s">
        <v>551</v>
      </c>
      <c r="E25" s="68">
        <v>72133</v>
      </c>
      <c r="F25" s="69" t="s">
        <v>420</v>
      </c>
      <c r="G25" s="70" t="s">
        <v>421</v>
      </c>
      <c r="H25" s="71">
        <v>57</v>
      </c>
      <c r="I25" s="72" t="s">
        <v>31</v>
      </c>
      <c r="J25" s="73" t="s">
        <v>32</v>
      </c>
      <c r="K25" s="74" t="s">
        <v>552</v>
      </c>
      <c r="L25" s="75" t="str">
        <f t="shared" si="3"/>
        <v>19680210</v>
      </c>
      <c r="M25" s="69">
        <v>18238334691</v>
      </c>
      <c r="N25" s="69" t="s">
        <v>118</v>
      </c>
      <c r="O25" s="76"/>
      <c r="P25" s="69"/>
      <c r="Q25" s="69" t="s">
        <v>553</v>
      </c>
      <c r="R25" s="69" t="s">
        <v>443</v>
      </c>
      <c r="S25" s="69">
        <v>16650552185</v>
      </c>
      <c r="T25" s="68" t="s">
        <v>554</v>
      </c>
      <c r="U25" s="77">
        <v>49262</v>
      </c>
      <c r="V25" s="78">
        <f ca="1" t="shared" si="4"/>
        <v>3172</v>
      </c>
      <c r="W25" s="79">
        <v>45769</v>
      </c>
      <c r="X25" s="79">
        <v>45770</v>
      </c>
      <c r="Y25" s="80">
        <f ca="1" t="shared" si="5"/>
        <v>320</v>
      </c>
    </row>
    <row r="26" ht="26" customHeight="1" spans="1:25">
      <c r="A26" s="65">
        <f t="shared" si="0"/>
        <v>24</v>
      </c>
      <c r="B26" s="65">
        <f t="shared" si="1"/>
        <v>24</v>
      </c>
      <c r="C26" s="66" t="s">
        <v>555</v>
      </c>
      <c r="D26" s="67" t="s">
        <v>556</v>
      </c>
      <c r="E26" s="68">
        <v>72403</v>
      </c>
      <c r="F26" s="69" t="s">
        <v>420</v>
      </c>
      <c r="G26" s="70" t="s">
        <v>421</v>
      </c>
      <c r="H26" s="71">
        <v>38</v>
      </c>
      <c r="I26" s="72" t="s">
        <v>31</v>
      </c>
      <c r="J26" s="73" t="s">
        <v>32</v>
      </c>
      <c r="K26" s="74" t="s">
        <v>557</v>
      </c>
      <c r="L26" s="75" t="str">
        <f t="shared" si="3"/>
        <v>19871005</v>
      </c>
      <c r="M26" s="69">
        <v>18866973976</v>
      </c>
      <c r="N26" s="69" t="s">
        <v>44</v>
      </c>
      <c r="O26" s="76"/>
      <c r="P26" s="69"/>
      <c r="Q26" s="69" t="s">
        <v>558</v>
      </c>
      <c r="R26" s="69" t="s">
        <v>559</v>
      </c>
      <c r="S26" s="69">
        <v>15192928362</v>
      </c>
      <c r="T26" s="68" t="s">
        <v>560</v>
      </c>
      <c r="U26" s="77">
        <v>48559</v>
      </c>
      <c r="V26" s="78">
        <f ca="1" t="shared" si="4"/>
        <v>2469</v>
      </c>
      <c r="W26" s="79">
        <v>45788</v>
      </c>
      <c r="X26" s="79">
        <v>45789</v>
      </c>
      <c r="Y26" s="80">
        <f ca="1" t="shared" si="5"/>
        <v>301</v>
      </c>
    </row>
    <row r="27" ht="26" customHeight="1" spans="1:25">
      <c r="A27" s="65">
        <f t="shared" si="0"/>
        <v>25</v>
      </c>
      <c r="B27" s="65">
        <f t="shared" si="1"/>
        <v>25</v>
      </c>
      <c r="C27" s="66" t="s">
        <v>561</v>
      </c>
      <c r="D27" s="67" t="s">
        <v>562</v>
      </c>
      <c r="E27" s="68">
        <v>72404</v>
      </c>
      <c r="F27" s="69" t="s">
        <v>420</v>
      </c>
      <c r="G27" s="70" t="s">
        <v>421</v>
      </c>
      <c r="H27" s="71">
        <v>49</v>
      </c>
      <c r="I27" s="72" t="s">
        <v>31</v>
      </c>
      <c r="J27" s="73" t="s">
        <v>32</v>
      </c>
      <c r="K27" s="74" t="s">
        <v>563</v>
      </c>
      <c r="L27" s="75" t="str">
        <f t="shared" si="3"/>
        <v>19760829</v>
      </c>
      <c r="M27" s="69">
        <v>18480850130</v>
      </c>
      <c r="N27" s="69" t="s">
        <v>44</v>
      </c>
      <c r="O27" s="76"/>
      <c r="P27" s="69"/>
      <c r="Q27" s="69" t="s">
        <v>564</v>
      </c>
      <c r="R27" s="69" t="s">
        <v>565</v>
      </c>
      <c r="S27" s="69">
        <v>15206638723</v>
      </c>
      <c r="T27" s="68" t="s">
        <v>566</v>
      </c>
      <c r="U27" s="77">
        <v>49286</v>
      </c>
      <c r="V27" s="78">
        <f ca="1" t="shared" si="4"/>
        <v>3196</v>
      </c>
      <c r="W27" s="79">
        <v>45788</v>
      </c>
      <c r="X27" s="79">
        <v>45789</v>
      </c>
      <c r="Y27" s="80">
        <f ca="1" t="shared" si="5"/>
        <v>301</v>
      </c>
    </row>
    <row r="28" ht="26" customHeight="1" spans="1:25">
      <c r="A28" s="65">
        <f t="shared" si="0"/>
        <v>26</v>
      </c>
      <c r="B28" s="65">
        <f t="shared" si="1"/>
        <v>26</v>
      </c>
      <c r="C28" s="66" t="s">
        <v>567</v>
      </c>
      <c r="D28" s="67" t="s">
        <v>568</v>
      </c>
      <c r="E28" s="68">
        <v>72458</v>
      </c>
      <c r="F28" s="69" t="s">
        <v>420</v>
      </c>
      <c r="G28" s="70" t="s">
        <v>421</v>
      </c>
      <c r="H28" s="71">
        <v>52</v>
      </c>
      <c r="I28" s="72" t="s">
        <v>31</v>
      </c>
      <c r="J28" s="73" t="s">
        <v>32</v>
      </c>
      <c r="K28" s="74" t="s">
        <v>569</v>
      </c>
      <c r="L28" s="75" t="str">
        <f t="shared" si="3"/>
        <v>19730310</v>
      </c>
      <c r="M28" s="69">
        <v>18567830658</v>
      </c>
      <c r="N28" s="69" t="s">
        <v>118</v>
      </c>
      <c r="O28" s="76"/>
      <c r="P28" s="69"/>
      <c r="Q28" s="69" t="s">
        <v>570</v>
      </c>
      <c r="R28" s="69" t="s">
        <v>571</v>
      </c>
      <c r="S28" s="69">
        <v>18238533149</v>
      </c>
      <c r="T28" s="68" t="s">
        <v>572</v>
      </c>
      <c r="U28" s="77">
        <v>49357</v>
      </c>
      <c r="V28" s="78">
        <f ca="1" t="shared" si="4"/>
        <v>3267</v>
      </c>
      <c r="W28" s="79">
        <v>45794</v>
      </c>
      <c r="X28" s="79">
        <v>45795</v>
      </c>
      <c r="Y28" s="80">
        <f ca="1" t="shared" si="5"/>
        <v>295</v>
      </c>
    </row>
    <row r="29" ht="26" customHeight="1" spans="1:25">
      <c r="A29" s="65">
        <f t="shared" si="0"/>
        <v>27</v>
      </c>
      <c r="B29" s="65">
        <f t="shared" si="1"/>
        <v>27</v>
      </c>
      <c r="C29" s="66" t="s">
        <v>573</v>
      </c>
      <c r="D29" s="67" t="s">
        <v>574</v>
      </c>
      <c r="E29" s="68">
        <v>72463</v>
      </c>
      <c r="F29" s="69" t="s">
        <v>420</v>
      </c>
      <c r="G29" s="70" t="s">
        <v>421</v>
      </c>
      <c r="H29" s="71">
        <v>48</v>
      </c>
      <c r="I29" s="72" t="s">
        <v>31</v>
      </c>
      <c r="J29" s="73" t="s">
        <v>32</v>
      </c>
      <c r="K29" s="74" t="s">
        <v>575</v>
      </c>
      <c r="L29" s="75" t="str">
        <f t="shared" si="3"/>
        <v>19770504</v>
      </c>
      <c r="M29" s="69">
        <v>13864260935</v>
      </c>
      <c r="N29" s="69" t="s">
        <v>44</v>
      </c>
      <c r="O29" s="76"/>
      <c r="P29" s="69"/>
      <c r="Q29" s="69" t="s">
        <v>576</v>
      </c>
      <c r="R29" s="69" t="s">
        <v>577</v>
      </c>
      <c r="S29" s="69">
        <v>15092051044</v>
      </c>
      <c r="T29" s="68" t="s">
        <v>578</v>
      </c>
      <c r="U29" s="77">
        <v>49072</v>
      </c>
      <c r="V29" s="78">
        <f ca="1" t="shared" si="4"/>
        <v>2982</v>
      </c>
      <c r="W29" s="79">
        <v>45794</v>
      </c>
      <c r="X29" s="79">
        <v>45795</v>
      </c>
      <c r="Y29" s="80">
        <f ca="1" t="shared" si="5"/>
        <v>295</v>
      </c>
    </row>
    <row r="30" ht="26" customHeight="1" spans="1:25">
      <c r="A30" s="65">
        <f t="shared" si="0"/>
        <v>28</v>
      </c>
      <c r="B30" s="65">
        <f t="shared" si="1"/>
        <v>28</v>
      </c>
      <c r="C30" s="66" t="s">
        <v>579</v>
      </c>
      <c r="D30" s="67" t="s">
        <v>580</v>
      </c>
      <c r="E30" s="68">
        <v>72461</v>
      </c>
      <c r="F30" s="69" t="s">
        <v>420</v>
      </c>
      <c r="G30" s="70" t="s">
        <v>421</v>
      </c>
      <c r="H30" s="71">
        <v>40</v>
      </c>
      <c r="I30" s="72" t="s">
        <v>31</v>
      </c>
      <c r="J30" s="73" t="s">
        <v>32</v>
      </c>
      <c r="K30" s="74" t="s">
        <v>581</v>
      </c>
      <c r="L30" s="75" t="str">
        <f t="shared" si="3"/>
        <v>19851030</v>
      </c>
      <c r="M30" s="69">
        <v>15963159752</v>
      </c>
      <c r="N30" s="69" t="s">
        <v>44</v>
      </c>
      <c r="O30" s="76"/>
      <c r="P30" s="69"/>
      <c r="Q30" s="69" t="s">
        <v>582</v>
      </c>
      <c r="R30" s="69" t="s">
        <v>583</v>
      </c>
      <c r="S30" s="69">
        <v>14753813382</v>
      </c>
      <c r="T30" s="68" t="s">
        <v>584</v>
      </c>
      <c r="U30" s="77">
        <v>49070</v>
      </c>
      <c r="V30" s="78">
        <f ca="1" t="shared" si="4"/>
        <v>2980</v>
      </c>
      <c r="W30" s="79">
        <v>45794</v>
      </c>
      <c r="X30" s="79">
        <v>45795</v>
      </c>
      <c r="Y30" s="80">
        <f ca="1" t="shared" si="5"/>
        <v>295</v>
      </c>
    </row>
    <row r="31" ht="26" customHeight="1" spans="1:25">
      <c r="A31" s="65">
        <f t="shared" si="0"/>
        <v>29</v>
      </c>
      <c r="B31" s="65">
        <f t="shared" si="1"/>
        <v>29</v>
      </c>
      <c r="C31" s="66" t="s">
        <v>585</v>
      </c>
      <c r="D31" s="67" t="s">
        <v>586</v>
      </c>
      <c r="E31" s="68">
        <v>72462</v>
      </c>
      <c r="F31" s="69" t="s">
        <v>420</v>
      </c>
      <c r="G31" s="70" t="s">
        <v>421</v>
      </c>
      <c r="H31" s="71">
        <v>52</v>
      </c>
      <c r="I31" s="72" t="s">
        <v>31</v>
      </c>
      <c r="J31" s="73" t="s">
        <v>32</v>
      </c>
      <c r="K31" s="74" t="s">
        <v>587</v>
      </c>
      <c r="L31" s="75" t="str">
        <f t="shared" si="3"/>
        <v>19730214</v>
      </c>
      <c r="M31" s="69">
        <v>17753923829</v>
      </c>
      <c r="N31" s="69" t="s">
        <v>44</v>
      </c>
      <c r="O31" s="76"/>
      <c r="P31" s="69"/>
      <c r="Q31" s="69" t="s">
        <v>588</v>
      </c>
      <c r="R31" s="69" t="s">
        <v>589</v>
      </c>
      <c r="S31" s="69">
        <v>13345073017</v>
      </c>
      <c r="T31" s="68" t="s">
        <v>590</v>
      </c>
      <c r="U31" s="77">
        <v>47175</v>
      </c>
      <c r="V31" s="78">
        <f ca="1" t="shared" si="4"/>
        <v>1085</v>
      </c>
      <c r="W31" s="79">
        <v>45794</v>
      </c>
      <c r="X31" s="79">
        <v>45795</v>
      </c>
      <c r="Y31" s="80">
        <f ca="1" t="shared" si="5"/>
        <v>295</v>
      </c>
    </row>
    <row r="32" ht="26" customHeight="1" spans="1:25">
      <c r="A32" s="65">
        <f t="shared" si="0"/>
        <v>30</v>
      </c>
      <c r="B32" s="65">
        <f t="shared" si="1"/>
        <v>30</v>
      </c>
      <c r="C32" s="66" t="s">
        <v>591</v>
      </c>
      <c r="D32" s="67" t="s">
        <v>592</v>
      </c>
      <c r="E32" s="68">
        <v>72456</v>
      </c>
      <c r="F32" s="69" t="s">
        <v>420</v>
      </c>
      <c r="G32" s="70" t="s">
        <v>421</v>
      </c>
      <c r="H32" s="71">
        <v>42</v>
      </c>
      <c r="I32" s="72" t="s">
        <v>31</v>
      </c>
      <c r="J32" s="73" t="s">
        <v>32</v>
      </c>
      <c r="K32" s="74" t="s">
        <v>593</v>
      </c>
      <c r="L32" s="75" t="str">
        <f t="shared" si="3"/>
        <v>19830224</v>
      </c>
      <c r="M32" s="69">
        <v>15853813497</v>
      </c>
      <c r="N32" s="69" t="s">
        <v>44</v>
      </c>
      <c r="O32" s="76"/>
      <c r="P32" s="69"/>
      <c r="Q32" s="69" t="s">
        <v>594</v>
      </c>
      <c r="R32" s="69" t="s">
        <v>595</v>
      </c>
      <c r="S32" s="69">
        <v>13562848702</v>
      </c>
      <c r="T32" s="68" t="s">
        <v>596</v>
      </c>
      <c r="U32" s="77">
        <v>46433</v>
      </c>
      <c r="V32" s="78">
        <f ca="1" t="shared" si="4"/>
        <v>343</v>
      </c>
      <c r="W32" s="79">
        <v>45794</v>
      </c>
      <c r="X32" s="79">
        <v>45795</v>
      </c>
      <c r="Y32" s="80">
        <f ca="1" t="shared" si="5"/>
        <v>295</v>
      </c>
    </row>
    <row r="33" ht="26" customHeight="1" spans="1:25">
      <c r="A33" s="65">
        <f t="shared" si="0"/>
        <v>31</v>
      </c>
      <c r="B33" s="65">
        <f t="shared" si="1"/>
        <v>31</v>
      </c>
      <c r="C33" s="66" t="s">
        <v>597</v>
      </c>
      <c r="D33" s="67" t="s">
        <v>598</v>
      </c>
      <c r="E33" s="68">
        <v>72457</v>
      </c>
      <c r="F33" s="69" t="s">
        <v>420</v>
      </c>
      <c r="G33" s="70" t="s">
        <v>421</v>
      </c>
      <c r="H33" s="71">
        <v>53</v>
      </c>
      <c r="I33" s="72" t="s">
        <v>31</v>
      </c>
      <c r="J33" s="73" t="s">
        <v>32</v>
      </c>
      <c r="K33" s="74" t="s">
        <v>599</v>
      </c>
      <c r="L33" s="75" t="str">
        <f t="shared" si="3"/>
        <v>19720104</v>
      </c>
      <c r="M33" s="69">
        <v>17854851987</v>
      </c>
      <c r="N33" s="69" t="s">
        <v>44</v>
      </c>
      <c r="O33" s="76"/>
      <c r="P33" s="69"/>
      <c r="Q33" s="69" t="s">
        <v>600</v>
      </c>
      <c r="R33" s="69" t="s">
        <v>601</v>
      </c>
      <c r="S33" s="69">
        <v>15194370786</v>
      </c>
      <c r="T33" s="68" t="s">
        <v>602</v>
      </c>
      <c r="U33" s="77">
        <v>49034</v>
      </c>
      <c r="V33" s="78">
        <f ca="1" t="shared" si="4"/>
        <v>2944</v>
      </c>
      <c r="W33" s="79">
        <v>45794</v>
      </c>
      <c r="X33" s="79">
        <v>45795</v>
      </c>
      <c r="Y33" s="80">
        <f ca="1" t="shared" si="5"/>
        <v>295</v>
      </c>
    </row>
    <row r="34" ht="26" customHeight="1" spans="1:25">
      <c r="A34" s="65">
        <f t="shared" si="0"/>
        <v>32</v>
      </c>
      <c r="B34" s="65">
        <f t="shared" si="1"/>
        <v>32</v>
      </c>
      <c r="C34" s="66" t="s">
        <v>603</v>
      </c>
      <c r="D34" s="67" t="s">
        <v>604</v>
      </c>
      <c r="E34" s="68">
        <v>72459</v>
      </c>
      <c r="F34" s="69" t="s">
        <v>420</v>
      </c>
      <c r="G34" s="70" t="s">
        <v>421</v>
      </c>
      <c r="H34" s="71">
        <v>55</v>
      </c>
      <c r="I34" s="72" t="s">
        <v>31</v>
      </c>
      <c r="J34" s="73" t="s">
        <v>32</v>
      </c>
      <c r="K34" s="74" t="s">
        <v>605</v>
      </c>
      <c r="L34" s="75" t="str">
        <f t="shared" si="3"/>
        <v>19700515</v>
      </c>
      <c r="M34" s="69">
        <v>13678674530</v>
      </c>
      <c r="N34" s="69" t="s">
        <v>44</v>
      </c>
      <c r="O34" s="76"/>
      <c r="P34" s="69"/>
      <c r="Q34" s="69" t="s">
        <v>606</v>
      </c>
      <c r="R34" s="69" t="s">
        <v>607</v>
      </c>
      <c r="S34" s="69">
        <v>15166787542</v>
      </c>
      <c r="T34" s="68" t="s">
        <v>608</v>
      </c>
      <c r="U34" s="77">
        <v>48286</v>
      </c>
      <c r="V34" s="78">
        <f ca="1" t="shared" si="4"/>
        <v>2196</v>
      </c>
      <c r="W34" s="79">
        <v>45794</v>
      </c>
      <c r="X34" s="79">
        <v>45795</v>
      </c>
      <c r="Y34" s="80">
        <f ca="1" t="shared" si="5"/>
        <v>295</v>
      </c>
    </row>
    <row r="35" ht="26" customHeight="1" spans="1:25">
      <c r="A35" s="65">
        <f t="shared" si="0"/>
        <v>33</v>
      </c>
      <c r="B35" s="65">
        <f t="shared" si="1"/>
        <v>33</v>
      </c>
      <c r="C35" s="66" t="s">
        <v>609</v>
      </c>
      <c r="D35" s="67" t="s">
        <v>610</v>
      </c>
      <c r="E35" s="68">
        <v>72460</v>
      </c>
      <c r="F35" s="69" t="s">
        <v>420</v>
      </c>
      <c r="G35" s="70" t="s">
        <v>421</v>
      </c>
      <c r="H35" s="71">
        <v>55</v>
      </c>
      <c r="I35" s="72" t="s">
        <v>31</v>
      </c>
      <c r="J35" s="73" t="s">
        <v>32</v>
      </c>
      <c r="K35" s="74" t="s">
        <v>611</v>
      </c>
      <c r="L35" s="75" t="str">
        <f t="shared" si="3"/>
        <v>19700228</v>
      </c>
      <c r="M35" s="69">
        <v>17096432896</v>
      </c>
      <c r="N35" s="69" t="s">
        <v>44</v>
      </c>
      <c r="O35" s="76"/>
      <c r="P35" s="69"/>
      <c r="Q35" s="69" t="s">
        <v>612</v>
      </c>
      <c r="R35" s="69" t="s">
        <v>613</v>
      </c>
      <c r="S35" s="69">
        <v>15154795905</v>
      </c>
      <c r="T35" s="68" t="s">
        <v>614</v>
      </c>
      <c r="U35" s="77">
        <v>49358</v>
      </c>
      <c r="V35" s="78">
        <f ca="1" t="shared" si="4"/>
        <v>3268</v>
      </c>
      <c r="W35" s="79">
        <v>45794</v>
      </c>
      <c r="X35" s="79">
        <v>45795</v>
      </c>
      <c r="Y35" s="80">
        <f ca="1" t="shared" si="5"/>
        <v>295</v>
      </c>
    </row>
    <row r="36" ht="26" customHeight="1" spans="1:25">
      <c r="A36" s="65">
        <f t="shared" si="0"/>
        <v>34</v>
      </c>
      <c r="B36" s="65">
        <f t="shared" si="1"/>
        <v>34</v>
      </c>
      <c r="C36" s="66" t="s">
        <v>615</v>
      </c>
      <c r="D36" s="67" t="s">
        <v>616</v>
      </c>
      <c r="E36" s="68">
        <v>72963</v>
      </c>
      <c r="F36" s="69" t="s">
        <v>420</v>
      </c>
      <c r="G36" s="70" t="s">
        <v>421</v>
      </c>
      <c r="H36" s="71">
        <v>48</v>
      </c>
      <c r="I36" s="72" t="s">
        <v>31</v>
      </c>
      <c r="J36" s="73" t="s">
        <v>32</v>
      </c>
      <c r="K36" s="74" t="s">
        <v>617</v>
      </c>
      <c r="L36" s="75" t="str">
        <f t="shared" si="3"/>
        <v>19810802</v>
      </c>
      <c r="M36" s="69">
        <v>15254837720</v>
      </c>
      <c r="N36" s="69" t="s">
        <v>44</v>
      </c>
      <c r="O36" s="76"/>
      <c r="P36" s="69"/>
      <c r="Q36" s="69" t="s">
        <v>618</v>
      </c>
      <c r="R36" s="69" t="s">
        <v>619</v>
      </c>
      <c r="S36" s="69">
        <v>15254837720</v>
      </c>
      <c r="T36" s="68" t="s">
        <v>620</v>
      </c>
      <c r="U36" s="77">
        <v>47909</v>
      </c>
      <c r="V36" s="78">
        <f ca="1" t="shared" si="4"/>
        <v>1819</v>
      </c>
      <c r="W36" s="79">
        <v>45794</v>
      </c>
      <c r="X36" s="79">
        <v>45795</v>
      </c>
      <c r="Y36" s="80">
        <f ca="1" t="shared" si="5"/>
        <v>295</v>
      </c>
    </row>
    <row r="37" ht="26" customHeight="1" spans="1:25">
      <c r="A37" s="65">
        <f t="shared" si="0"/>
        <v>35</v>
      </c>
      <c r="B37" s="65">
        <f t="shared" si="1"/>
        <v>35</v>
      </c>
      <c r="C37" s="66" t="s">
        <v>621</v>
      </c>
      <c r="D37" s="67" t="s">
        <v>622</v>
      </c>
      <c r="E37" s="68">
        <v>73096</v>
      </c>
      <c r="F37" s="69" t="s">
        <v>420</v>
      </c>
      <c r="G37" s="70" t="s">
        <v>421</v>
      </c>
      <c r="H37" s="71">
        <f ca="1" t="shared" ref="H37:H42" si="6">DATEDIF(TEXT(MID(K37,7,8),"0-00-00"),TODAY(),"y")</f>
        <v>35</v>
      </c>
      <c r="I37" s="72" t="s">
        <v>31</v>
      </c>
      <c r="J37" s="73" t="s">
        <v>32</v>
      </c>
      <c r="K37" s="154" t="s">
        <v>623</v>
      </c>
      <c r="L37" s="75">
        <v>19901214</v>
      </c>
      <c r="M37" s="69">
        <v>15206474206</v>
      </c>
      <c r="N37" s="69" t="s">
        <v>44</v>
      </c>
      <c r="O37" s="76"/>
      <c r="P37" s="69"/>
      <c r="Q37" s="69" t="s">
        <v>624</v>
      </c>
      <c r="R37" s="69" t="s">
        <v>625</v>
      </c>
      <c r="S37" s="69">
        <v>15066116023</v>
      </c>
      <c r="T37" s="68" t="s">
        <v>626</v>
      </c>
      <c r="U37" s="77">
        <v>46669</v>
      </c>
      <c r="V37" s="78">
        <f ca="1" t="shared" si="4"/>
        <v>579</v>
      </c>
      <c r="W37" s="79">
        <v>45854</v>
      </c>
      <c r="X37" s="79">
        <v>45855</v>
      </c>
      <c r="Y37" s="80">
        <f ca="1" t="shared" si="5"/>
        <v>235</v>
      </c>
    </row>
    <row r="38" ht="26" customHeight="1" spans="1:25">
      <c r="A38" s="65">
        <f t="shared" si="0"/>
        <v>36</v>
      </c>
      <c r="B38" s="65">
        <f t="shared" si="1"/>
        <v>36</v>
      </c>
      <c r="C38" s="66" t="s">
        <v>627</v>
      </c>
      <c r="D38" s="67" t="s">
        <v>628</v>
      </c>
      <c r="E38" s="68">
        <v>73097</v>
      </c>
      <c r="F38" s="69" t="s">
        <v>420</v>
      </c>
      <c r="G38" s="70" t="s">
        <v>421</v>
      </c>
      <c r="H38" s="71">
        <f ca="1" t="shared" si="6"/>
        <v>43</v>
      </c>
      <c r="I38" s="72" t="s">
        <v>31</v>
      </c>
      <c r="J38" s="73" t="s">
        <v>32</v>
      </c>
      <c r="K38" s="154" t="s">
        <v>629</v>
      </c>
      <c r="L38" s="75">
        <v>19821006</v>
      </c>
      <c r="M38" s="69">
        <v>18653863234</v>
      </c>
      <c r="N38" s="69" t="s">
        <v>44</v>
      </c>
      <c r="O38" s="76"/>
      <c r="P38" s="69"/>
      <c r="Q38" s="69" t="s">
        <v>630</v>
      </c>
      <c r="R38" s="69" t="s">
        <v>631</v>
      </c>
      <c r="S38" s="69">
        <v>13854878303</v>
      </c>
      <c r="T38" s="68" t="s">
        <v>632</v>
      </c>
      <c r="U38" s="77">
        <v>48882</v>
      </c>
      <c r="V38" s="78">
        <f ca="1" t="shared" si="4"/>
        <v>2792</v>
      </c>
      <c r="W38" s="79">
        <v>45854</v>
      </c>
      <c r="X38" s="79">
        <v>45855</v>
      </c>
      <c r="Y38" s="80">
        <f ca="1" t="shared" si="5"/>
        <v>235</v>
      </c>
    </row>
    <row r="39" ht="26" customHeight="1" spans="1:25">
      <c r="A39" s="65">
        <f t="shared" si="0"/>
        <v>37</v>
      </c>
      <c r="B39" s="65">
        <f t="shared" si="1"/>
        <v>37</v>
      </c>
      <c r="C39" s="66" t="s">
        <v>633</v>
      </c>
      <c r="D39" s="67" t="s">
        <v>634</v>
      </c>
      <c r="E39" s="68">
        <v>73098</v>
      </c>
      <c r="F39" s="69" t="s">
        <v>420</v>
      </c>
      <c r="G39" s="70" t="s">
        <v>421</v>
      </c>
      <c r="H39" s="71">
        <f ca="1" t="shared" si="6"/>
        <v>44</v>
      </c>
      <c r="I39" s="72" t="s">
        <v>31</v>
      </c>
      <c r="J39" s="73" t="s">
        <v>32</v>
      </c>
      <c r="K39" s="154" t="s">
        <v>635</v>
      </c>
      <c r="L39" s="75">
        <v>19820110</v>
      </c>
      <c r="M39" s="69">
        <v>15953250218</v>
      </c>
      <c r="N39" s="69" t="s">
        <v>44</v>
      </c>
      <c r="O39" s="76"/>
      <c r="P39" s="69"/>
      <c r="Q39" s="69" t="s">
        <v>636</v>
      </c>
      <c r="R39" s="69" t="s">
        <v>637</v>
      </c>
      <c r="S39" s="69">
        <v>15949790056</v>
      </c>
      <c r="T39" s="68" t="s">
        <v>638</v>
      </c>
      <c r="U39" s="77">
        <v>48903</v>
      </c>
      <c r="V39" s="78">
        <f ca="1" t="shared" si="4"/>
        <v>2813</v>
      </c>
      <c r="W39" s="79">
        <v>45854</v>
      </c>
      <c r="X39" s="79">
        <v>45855</v>
      </c>
      <c r="Y39" s="80">
        <f ca="1" t="shared" si="5"/>
        <v>235</v>
      </c>
    </row>
    <row r="40" ht="26" customHeight="1" spans="1:25">
      <c r="A40" s="65">
        <f t="shared" si="0"/>
        <v>38</v>
      </c>
      <c r="B40" s="65">
        <f t="shared" si="1"/>
        <v>38</v>
      </c>
      <c r="C40" s="66" t="s">
        <v>639</v>
      </c>
      <c r="D40" s="67" t="s">
        <v>640</v>
      </c>
      <c r="E40" s="68">
        <v>39073</v>
      </c>
      <c r="F40" s="69" t="s">
        <v>420</v>
      </c>
      <c r="G40" s="70" t="s">
        <v>421</v>
      </c>
      <c r="H40" s="71">
        <f ca="1" t="shared" si="6"/>
        <v>35</v>
      </c>
      <c r="I40" s="72" t="s">
        <v>31</v>
      </c>
      <c r="J40" s="73" t="s">
        <v>32</v>
      </c>
      <c r="K40" s="74" t="s">
        <v>641</v>
      </c>
      <c r="L40" s="75" t="str">
        <f>MID(K40,7,8)</f>
        <v>19900512</v>
      </c>
      <c r="M40" s="69">
        <v>18753806883</v>
      </c>
      <c r="N40" s="69" t="s">
        <v>44</v>
      </c>
      <c r="O40" s="76"/>
      <c r="P40" s="69"/>
      <c r="Q40" s="69" t="s">
        <v>642</v>
      </c>
      <c r="R40" s="69" t="s">
        <v>643</v>
      </c>
      <c r="S40" s="69">
        <v>15564804876</v>
      </c>
      <c r="T40" s="68" t="s">
        <v>644</v>
      </c>
      <c r="U40" s="77">
        <v>46668</v>
      </c>
      <c r="V40" s="78">
        <f ca="1" t="shared" si="4"/>
        <v>578</v>
      </c>
      <c r="W40" s="79">
        <v>45917</v>
      </c>
      <c r="X40" s="79">
        <v>45918</v>
      </c>
      <c r="Y40" s="80">
        <f ca="1" t="shared" si="5"/>
        <v>172</v>
      </c>
    </row>
    <row r="41" ht="26" customHeight="1" spans="1:25">
      <c r="A41" s="65">
        <f t="shared" si="0"/>
        <v>39</v>
      </c>
      <c r="B41" s="65">
        <f t="shared" si="1"/>
        <v>39</v>
      </c>
      <c r="C41" s="66" t="s">
        <v>645</v>
      </c>
      <c r="D41" s="67" t="s">
        <v>646</v>
      </c>
      <c r="E41" s="68">
        <v>73869</v>
      </c>
      <c r="F41" s="69" t="s">
        <v>420</v>
      </c>
      <c r="G41" s="70" t="s">
        <v>421</v>
      </c>
      <c r="H41" s="71">
        <f ca="1" t="shared" si="6"/>
        <v>46</v>
      </c>
      <c r="I41" s="72" t="s">
        <v>31</v>
      </c>
      <c r="J41" s="73" t="s">
        <v>32</v>
      </c>
      <c r="K41" s="74" t="s">
        <v>647</v>
      </c>
      <c r="L41" s="75">
        <v>19790901</v>
      </c>
      <c r="M41" s="69" t="s">
        <v>648</v>
      </c>
      <c r="N41" s="69" t="s">
        <v>44</v>
      </c>
      <c r="O41" s="76"/>
      <c r="P41" s="69"/>
      <c r="Q41" s="69" t="s">
        <v>594</v>
      </c>
      <c r="R41" s="69" t="s">
        <v>649</v>
      </c>
      <c r="S41" s="69">
        <v>13954811504</v>
      </c>
      <c r="T41" s="68" t="s">
        <v>650</v>
      </c>
      <c r="U41" s="77">
        <v>47023</v>
      </c>
      <c r="V41" s="78">
        <f ca="1" t="shared" si="4"/>
        <v>933</v>
      </c>
      <c r="W41" s="79">
        <v>45917</v>
      </c>
      <c r="X41" s="79">
        <v>45918</v>
      </c>
      <c r="Y41" s="80">
        <f ca="1" t="shared" si="5"/>
        <v>172</v>
      </c>
    </row>
    <row r="42" ht="26" customHeight="1" spans="1:25">
      <c r="A42" s="65">
        <f t="shared" si="0"/>
        <v>40</v>
      </c>
      <c r="B42" s="65">
        <f t="shared" si="1"/>
        <v>40</v>
      </c>
      <c r="C42" s="66" t="s">
        <v>651</v>
      </c>
      <c r="D42" s="67" t="s">
        <v>652</v>
      </c>
      <c r="E42" s="68">
        <v>73870</v>
      </c>
      <c r="F42" s="69" t="s">
        <v>420</v>
      </c>
      <c r="G42" s="70" t="s">
        <v>421</v>
      </c>
      <c r="H42" s="71">
        <f ca="1" t="shared" si="6"/>
        <v>45</v>
      </c>
      <c r="I42" s="72" t="s">
        <v>31</v>
      </c>
      <c r="J42" s="73" t="s">
        <v>32</v>
      </c>
      <c r="K42" s="74" t="s">
        <v>653</v>
      </c>
      <c r="L42" s="75">
        <v>19801205</v>
      </c>
      <c r="M42" s="69" t="s">
        <v>654</v>
      </c>
      <c r="N42" s="69" t="s">
        <v>44</v>
      </c>
      <c r="O42" s="76"/>
      <c r="P42" s="69"/>
      <c r="Q42" s="69" t="s">
        <v>655</v>
      </c>
      <c r="R42" s="69" t="s">
        <v>656</v>
      </c>
      <c r="S42" s="69">
        <v>15244122551</v>
      </c>
      <c r="T42" s="68" t="s">
        <v>657</v>
      </c>
      <c r="U42" s="77">
        <v>48798</v>
      </c>
      <c r="V42" s="78">
        <f ca="1" t="shared" si="4"/>
        <v>2708</v>
      </c>
      <c r="W42" s="79">
        <v>45917</v>
      </c>
      <c r="X42" s="79">
        <v>45918</v>
      </c>
      <c r="Y42" s="80">
        <f ca="1" t="shared" si="5"/>
        <v>172</v>
      </c>
    </row>
    <row r="43" ht="26" customHeight="1" spans="1:25">
      <c r="A43" s="65">
        <f t="shared" si="0"/>
        <v>41</v>
      </c>
      <c r="B43" s="65">
        <f t="shared" si="1"/>
        <v>41</v>
      </c>
      <c r="C43" s="66" t="s">
        <v>658</v>
      </c>
      <c r="D43" s="67" t="s">
        <v>659</v>
      </c>
      <c r="E43" s="68">
        <v>72135</v>
      </c>
      <c r="F43" s="69" t="s">
        <v>420</v>
      </c>
      <c r="G43" s="70" t="s">
        <v>421</v>
      </c>
      <c r="H43" s="71">
        <v>37</v>
      </c>
      <c r="I43" s="72" t="s">
        <v>31</v>
      </c>
      <c r="J43" s="73" t="s">
        <v>32</v>
      </c>
      <c r="K43" s="74" t="s">
        <v>660</v>
      </c>
      <c r="L43" s="75" t="str">
        <f>MID(K43,7,8)</f>
        <v>19880214</v>
      </c>
      <c r="M43" s="69">
        <v>15863181284</v>
      </c>
      <c r="N43" s="69" t="s">
        <v>44</v>
      </c>
      <c r="O43" s="76"/>
      <c r="P43" s="69"/>
      <c r="Q43" s="69" t="s">
        <v>661</v>
      </c>
      <c r="R43" s="69" t="s">
        <v>662</v>
      </c>
      <c r="S43" s="69">
        <v>15966611345</v>
      </c>
      <c r="T43" s="68" t="s">
        <v>663</v>
      </c>
      <c r="U43" s="77">
        <v>46516</v>
      </c>
      <c r="V43" s="78">
        <f ca="1" t="shared" si="4"/>
        <v>426</v>
      </c>
      <c r="W43" s="79">
        <v>45769</v>
      </c>
      <c r="X43" s="79">
        <v>45770</v>
      </c>
      <c r="Y43" s="80">
        <f ca="1" t="shared" si="5"/>
        <v>320</v>
      </c>
    </row>
    <row r="44" ht="26" customHeight="1" spans="1:25">
      <c r="A44" s="65">
        <f t="shared" si="0"/>
        <v>42</v>
      </c>
      <c r="B44" s="65">
        <f t="shared" si="1"/>
        <v>42</v>
      </c>
      <c r="C44" s="66" t="s">
        <v>38</v>
      </c>
      <c r="D44" s="67" t="s">
        <v>664</v>
      </c>
      <c r="E44" s="68"/>
      <c r="F44" s="69" t="s">
        <v>420</v>
      </c>
      <c r="G44" s="70" t="s">
        <v>421</v>
      </c>
      <c r="H44" s="71">
        <v>55</v>
      </c>
      <c r="I44" s="72" t="s">
        <v>31</v>
      </c>
      <c r="J44" s="73" t="s">
        <v>32</v>
      </c>
      <c r="K44" s="74" t="s">
        <v>665</v>
      </c>
      <c r="L44" s="75">
        <v>19701012</v>
      </c>
      <c r="M44" s="69" t="s">
        <v>666</v>
      </c>
      <c r="N44" s="69" t="s">
        <v>44</v>
      </c>
      <c r="O44" s="76"/>
      <c r="P44" s="69"/>
      <c r="Q44" s="69" t="s">
        <v>667</v>
      </c>
      <c r="R44" s="69" t="s">
        <v>668</v>
      </c>
      <c r="S44" s="69">
        <v>15020826619</v>
      </c>
      <c r="T44" s="68" t="s">
        <v>669</v>
      </c>
      <c r="U44" s="77">
        <v>49048</v>
      </c>
      <c r="V44" s="78" t="s">
        <v>670</v>
      </c>
      <c r="W44" s="79"/>
      <c r="X44" s="79"/>
      <c r="Y44" s="80">
        <f ca="1" t="shared" si="5"/>
        <v>46090</v>
      </c>
    </row>
    <row r="45" ht="26" customHeight="1" spans="1:25">
      <c r="A45" s="65">
        <f t="shared" si="0"/>
        <v>43</v>
      </c>
      <c r="B45" s="65">
        <f t="shared" si="1"/>
        <v>43</v>
      </c>
      <c r="C45" s="66" t="s">
        <v>671</v>
      </c>
      <c r="D45" s="67" t="s">
        <v>672</v>
      </c>
      <c r="E45" s="68">
        <v>20413</v>
      </c>
      <c r="F45" s="69" t="s">
        <v>420</v>
      </c>
      <c r="G45" s="70" t="s">
        <v>421</v>
      </c>
      <c r="H45" s="71">
        <v>56</v>
      </c>
      <c r="I45" s="72" t="s">
        <v>31</v>
      </c>
      <c r="J45" s="73" t="s">
        <v>32</v>
      </c>
      <c r="K45" s="74" t="s">
        <v>673</v>
      </c>
      <c r="L45" s="75">
        <v>19690924</v>
      </c>
      <c r="M45" s="69" t="s">
        <v>674</v>
      </c>
      <c r="N45" s="69" t="s">
        <v>44</v>
      </c>
      <c r="O45" s="76"/>
      <c r="P45" s="69"/>
      <c r="Q45" s="69" t="s">
        <v>675</v>
      </c>
      <c r="R45" s="69" t="s">
        <v>676</v>
      </c>
      <c r="S45" s="69">
        <v>15965103641</v>
      </c>
      <c r="T45" s="68" t="s">
        <v>677</v>
      </c>
      <c r="U45" s="77">
        <v>48286</v>
      </c>
      <c r="V45" s="78" t="s">
        <v>670</v>
      </c>
      <c r="W45" s="79">
        <v>45944</v>
      </c>
      <c r="X45" s="79"/>
      <c r="Y45" s="80">
        <f ca="1" t="shared" si="5"/>
        <v>46090</v>
      </c>
    </row>
    <row r="46" ht="26" customHeight="1" spans="1:25">
      <c r="A46" s="65">
        <f t="shared" si="0"/>
        <v>44</v>
      </c>
      <c r="B46" s="65">
        <f t="shared" si="1"/>
        <v>44</v>
      </c>
      <c r="C46" s="66" t="s">
        <v>678</v>
      </c>
      <c r="D46" s="67" t="s">
        <v>679</v>
      </c>
      <c r="E46" s="68">
        <v>74435</v>
      </c>
      <c r="F46" s="69" t="s">
        <v>420</v>
      </c>
      <c r="G46" s="70" t="s">
        <v>421</v>
      </c>
      <c r="H46" s="71">
        <v>40</v>
      </c>
      <c r="I46" s="72" t="s">
        <v>31</v>
      </c>
      <c r="J46" s="73" t="s">
        <v>32</v>
      </c>
      <c r="K46" s="74" t="s">
        <v>680</v>
      </c>
      <c r="L46" s="75">
        <v>19850310</v>
      </c>
      <c r="M46" s="69" t="s">
        <v>681</v>
      </c>
      <c r="N46" s="69" t="s">
        <v>362</v>
      </c>
      <c r="O46" s="76"/>
      <c r="P46" s="69"/>
      <c r="Q46" s="69" t="s">
        <v>682</v>
      </c>
      <c r="R46" s="69" t="s">
        <v>683</v>
      </c>
      <c r="S46" s="69">
        <v>15291376534</v>
      </c>
      <c r="T46" s="68" t="s">
        <v>684</v>
      </c>
      <c r="U46" s="77">
        <v>47435</v>
      </c>
      <c r="V46" s="78" t="s">
        <v>670</v>
      </c>
      <c r="W46" s="79">
        <v>45944</v>
      </c>
      <c r="X46" s="79"/>
      <c r="Y46" s="80">
        <f ca="1" t="shared" si="5"/>
        <v>46090</v>
      </c>
    </row>
    <row r="47" ht="26" customHeight="1" spans="1:25">
      <c r="A47" s="65">
        <f t="shared" si="0"/>
        <v>45</v>
      </c>
      <c r="B47" s="65">
        <f t="shared" si="1"/>
        <v>45</v>
      </c>
      <c r="C47" s="66" t="s">
        <v>685</v>
      </c>
      <c r="D47" s="67" t="s">
        <v>686</v>
      </c>
      <c r="E47" s="68">
        <v>419</v>
      </c>
      <c r="F47" s="69" t="s">
        <v>687</v>
      </c>
      <c r="G47" s="70" t="s">
        <v>421</v>
      </c>
      <c r="H47" s="71">
        <f ca="1">DATEDIF(TEXT(MID(K47,7,8),"0-00-00"),TODAY(),"y")</f>
        <v>27</v>
      </c>
      <c r="I47" s="72" t="s">
        <v>31</v>
      </c>
      <c r="J47" s="73" t="s">
        <v>32</v>
      </c>
      <c r="K47" s="74" t="s">
        <v>688</v>
      </c>
      <c r="L47" s="75" t="str">
        <f t="shared" ref="L47:L53" si="7">MID(K47,7,8)</f>
        <v>19980711</v>
      </c>
      <c r="M47" s="69">
        <v>13335149316</v>
      </c>
      <c r="N47" s="69" t="s">
        <v>44</v>
      </c>
      <c r="O47" s="76"/>
      <c r="P47" s="69"/>
      <c r="Q47" s="69" t="s">
        <v>689</v>
      </c>
      <c r="R47" s="69" t="s">
        <v>690</v>
      </c>
      <c r="S47" s="69">
        <v>15966057449</v>
      </c>
      <c r="T47" s="68" t="s">
        <v>691</v>
      </c>
      <c r="U47" s="77">
        <v>48202</v>
      </c>
      <c r="V47" s="78">
        <f ca="1" t="shared" ref="V47:V53" si="8">U47-TODAY()</f>
        <v>2112</v>
      </c>
      <c r="W47" s="79">
        <v>45440</v>
      </c>
      <c r="X47" s="79">
        <v>45441</v>
      </c>
      <c r="Y47" s="80">
        <f ca="1" t="shared" si="5"/>
        <v>649</v>
      </c>
    </row>
    <row r="48" ht="26" customHeight="1" spans="1:25">
      <c r="A48" s="65">
        <f t="shared" si="0"/>
        <v>46</v>
      </c>
      <c r="B48" s="65">
        <f t="shared" si="1"/>
        <v>46</v>
      </c>
      <c r="C48" s="66" t="s">
        <v>692</v>
      </c>
      <c r="D48" s="67" t="s">
        <v>693</v>
      </c>
      <c r="E48" s="68">
        <v>74834</v>
      </c>
      <c r="F48" s="69" t="s">
        <v>420</v>
      </c>
      <c r="G48" s="70" t="s">
        <v>421</v>
      </c>
      <c r="H48" s="71">
        <v>48</v>
      </c>
      <c r="I48" s="72" t="s">
        <v>31</v>
      </c>
      <c r="J48" s="73" t="s">
        <v>32</v>
      </c>
      <c r="K48" s="154" t="s">
        <v>694</v>
      </c>
      <c r="L48" s="75">
        <v>19770416</v>
      </c>
      <c r="M48" s="69">
        <v>18266782988</v>
      </c>
      <c r="N48" s="69" t="s">
        <v>44</v>
      </c>
      <c r="O48" s="76"/>
      <c r="P48" s="69"/>
      <c r="Q48" s="69" t="s">
        <v>695</v>
      </c>
      <c r="R48" s="69" t="s">
        <v>696</v>
      </c>
      <c r="S48" s="69">
        <v>17852077877</v>
      </c>
      <c r="T48" s="68" t="s">
        <v>697</v>
      </c>
      <c r="U48" s="77">
        <v>49499</v>
      </c>
      <c r="V48" s="78">
        <f ca="1" t="shared" si="8"/>
        <v>3409</v>
      </c>
      <c r="W48" s="79">
        <v>45966</v>
      </c>
      <c r="X48" s="79">
        <v>45967</v>
      </c>
      <c r="Y48" s="80">
        <f ca="1" t="shared" si="5"/>
        <v>123</v>
      </c>
    </row>
    <row r="49" ht="26" customHeight="1" spans="1:25">
      <c r="A49" s="65">
        <f t="shared" si="0"/>
        <v>47</v>
      </c>
      <c r="B49" s="65">
        <f t="shared" si="1"/>
        <v>47</v>
      </c>
      <c r="C49" s="66" t="s">
        <v>698</v>
      </c>
      <c r="D49" s="67" t="s">
        <v>699</v>
      </c>
      <c r="E49" s="68">
        <v>74833</v>
      </c>
      <c r="F49" s="69" t="s">
        <v>420</v>
      </c>
      <c r="G49" s="70" t="s">
        <v>421</v>
      </c>
      <c r="H49" s="71">
        <v>51</v>
      </c>
      <c r="I49" s="72" t="s">
        <v>31</v>
      </c>
      <c r="J49" s="73" t="s">
        <v>32</v>
      </c>
      <c r="K49" s="154" t="s">
        <v>700</v>
      </c>
      <c r="L49" s="75">
        <v>19740503</v>
      </c>
      <c r="M49" s="69">
        <v>18854882329</v>
      </c>
      <c r="N49" s="69" t="s">
        <v>44</v>
      </c>
      <c r="O49" s="76"/>
      <c r="P49" s="69"/>
      <c r="Q49" s="69" t="s">
        <v>701</v>
      </c>
      <c r="R49" s="69" t="s">
        <v>702</v>
      </c>
      <c r="S49" s="69">
        <v>15053818320</v>
      </c>
      <c r="T49" s="68" t="s">
        <v>703</v>
      </c>
      <c r="U49" s="77">
        <v>47055</v>
      </c>
      <c r="V49" s="78">
        <f ca="1" t="shared" si="8"/>
        <v>965</v>
      </c>
      <c r="W49" s="79">
        <v>45966</v>
      </c>
      <c r="X49" s="79">
        <v>45967</v>
      </c>
      <c r="Y49" s="80">
        <f ca="1" t="shared" si="5"/>
        <v>123</v>
      </c>
    </row>
    <row r="50" ht="26" customHeight="1" spans="1:25">
      <c r="A50" s="65">
        <f t="shared" si="0"/>
        <v>48</v>
      </c>
      <c r="B50" s="65">
        <f t="shared" si="1"/>
        <v>48</v>
      </c>
      <c r="C50" s="66" t="s">
        <v>704</v>
      </c>
      <c r="D50" s="67" t="s">
        <v>705</v>
      </c>
      <c r="E50" s="68">
        <v>72134</v>
      </c>
      <c r="F50" s="69" t="s">
        <v>706</v>
      </c>
      <c r="G50" s="70" t="s">
        <v>421</v>
      </c>
      <c r="H50" s="71">
        <v>34</v>
      </c>
      <c r="I50" s="72" t="s">
        <v>31</v>
      </c>
      <c r="J50" s="73" t="s">
        <v>32</v>
      </c>
      <c r="K50" s="74" t="s">
        <v>707</v>
      </c>
      <c r="L50" s="75" t="str">
        <f t="shared" si="7"/>
        <v>19910123</v>
      </c>
      <c r="M50" s="69">
        <v>15666737353</v>
      </c>
      <c r="N50" s="69" t="s">
        <v>44</v>
      </c>
      <c r="O50" s="76"/>
      <c r="P50" s="69"/>
      <c r="Q50" s="69" t="s">
        <v>708</v>
      </c>
      <c r="R50" s="69" t="s">
        <v>709</v>
      </c>
      <c r="S50" s="69">
        <v>15562638630</v>
      </c>
      <c r="T50" s="68" t="s">
        <v>710</v>
      </c>
      <c r="U50" s="77">
        <v>46312</v>
      </c>
      <c r="V50" s="78">
        <f ca="1" t="shared" si="8"/>
        <v>222</v>
      </c>
      <c r="W50" s="79">
        <v>46000</v>
      </c>
      <c r="X50" s="79">
        <v>46000</v>
      </c>
      <c r="Y50" s="80">
        <f ca="1" t="shared" si="5"/>
        <v>90</v>
      </c>
    </row>
    <row r="51" ht="26" customHeight="1" spans="1:25">
      <c r="A51" s="65">
        <f t="shared" si="0"/>
        <v>49</v>
      </c>
      <c r="B51" s="65">
        <f t="shared" si="1"/>
        <v>49</v>
      </c>
      <c r="C51" s="66" t="s">
        <v>711</v>
      </c>
      <c r="D51" s="67" t="s">
        <v>712</v>
      </c>
      <c r="E51" s="68">
        <v>75100</v>
      </c>
      <c r="F51" s="69" t="s">
        <v>713</v>
      </c>
      <c r="G51" s="70" t="s">
        <v>421</v>
      </c>
      <c r="H51" s="71">
        <v>22</v>
      </c>
      <c r="I51" s="72" t="s">
        <v>31</v>
      </c>
      <c r="J51" s="73" t="s">
        <v>32</v>
      </c>
      <c r="K51" s="74" t="s">
        <v>714</v>
      </c>
      <c r="L51" s="75">
        <v>20021214</v>
      </c>
      <c r="M51" s="69" t="s">
        <v>715</v>
      </c>
      <c r="N51" s="69" t="s">
        <v>44</v>
      </c>
      <c r="O51" s="76"/>
      <c r="P51" s="69"/>
      <c r="Q51" s="69" t="s">
        <v>716</v>
      </c>
      <c r="R51" s="69" t="s">
        <v>717</v>
      </c>
      <c r="S51" s="69">
        <v>13854113517</v>
      </c>
      <c r="T51" s="68" t="s">
        <v>718</v>
      </c>
      <c r="U51" s="77">
        <v>48678</v>
      </c>
      <c r="V51" s="78">
        <f ca="1" t="shared" si="8"/>
        <v>2588</v>
      </c>
      <c r="W51" s="79">
        <v>45999</v>
      </c>
      <c r="X51" s="79">
        <v>46000</v>
      </c>
      <c r="Y51" s="80">
        <f ca="1" t="shared" si="5"/>
        <v>90</v>
      </c>
    </row>
    <row r="52" ht="26" customHeight="1" spans="1:25">
      <c r="A52" s="65">
        <f t="shared" si="0"/>
        <v>50</v>
      </c>
      <c r="B52" s="65">
        <f t="shared" si="1"/>
        <v>50</v>
      </c>
      <c r="C52" s="66" t="s">
        <v>719</v>
      </c>
      <c r="D52" s="67" t="s">
        <v>720</v>
      </c>
      <c r="E52" s="68">
        <v>26880</v>
      </c>
      <c r="F52" s="69" t="s">
        <v>721</v>
      </c>
      <c r="G52" s="70" t="s">
        <v>421</v>
      </c>
      <c r="H52" s="71">
        <f ca="1">DATEDIF(TEXT(MID(K52,7,8),"0-00-00"),TODAY(),"y")</f>
        <v>37</v>
      </c>
      <c r="I52" s="72" t="s">
        <v>31</v>
      </c>
      <c r="J52" s="73" t="s">
        <v>32</v>
      </c>
      <c r="K52" s="74" t="s">
        <v>722</v>
      </c>
      <c r="L52" s="75" t="str">
        <f t="shared" si="7"/>
        <v>19880321</v>
      </c>
      <c r="M52" s="69">
        <v>18203692398</v>
      </c>
      <c r="N52" s="69" t="s">
        <v>723</v>
      </c>
      <c r="O52" s="76"/>
      <c r="P52" s="69"/>
      <c r="Q52" s="69" t="s">
        <v>724</v>
      </c>
      <c r="R52" s="69" t="s">
        <v>725</v>
      </c>
      <c r="S52" s="69">
        <v>15903671725</v>
      </c>
      <c r="T52" s="68" t="s">
        <v>726</v>
      </c>
      <c r="U52" s="77">
        <v>47531</v>
      </c>
      <c r="V52" s="78">
        <f ca="1" t="shared" si="8"/>
        <v>1441</v>
      </c>
      <c r="W52" s="79">
        <v>45525</v>
      </c>
      <c r="X52" s="79">
        <v>45526</v>
      </c>
      <c r="Y52" s="80">
        <f ca="1" t="shared" si="5"/>
        <v>564</v>
      </c>
    </row>
    <row r="53" ht="26" customHeight="1" spans="1:25">
      <c r="A53" s="65">
        <f t="shared" si="0"/>
        <v>51</v>
      </c>
      <c r="B53" s="65">
        <f t="shared" si="1"/>
        <v>51</v>
      </c>
      <c r="C53" s="66" t="s">
        <v>727</v>
      </c>
      <c r="D53" s="67" t="s">
        <v>728</v>
      </c>
      <c r="E53" s="68">
        <v>50283</v>
      </c>
      <c r="F53" s="69" t="s">
        <v>420</v>
      </c>
      <c r="G53" s="70" t="s">
        <v>421</v>
      </c>
      <c r="H53" s="71">
        <f ca="1">DATEDIF(TEXT(MID(K53,7,8),"0-00-00"),TODAY(),"y")</f>
        <v>56</v>
      </c>
      <c r="I53" s="72" t="s">
        <v>31</v>
      </c>
      <c r="J53" s="73" t="s">
        <v>32</v>
      </c>
      <c r="K53" s="74" t="s">
        <v>729</v>
      </c>
      <c r="L53" s="75" t="str">
        <f t="shared" si="7"/>
        <v>19690405</v>
      </c>
      <c r="M53" s="69">
        <v>18063182946</v>
      </c>
      <c r="N53" s="69" t="s">
        <v>44</v>
      </c>
      <c r="O53" s="76"/>
      <c r="P53" s="69"/>
      <c r="Q53" s="69" t="s">
        <v>429</v>
      </c>
      <c r="R53" s="69" t="s">
        <v>730</v>
      </c>
      <c r="S53" s="69">
        <v>15550720292</v>
      </c>
      <c r="T53" s="68" t="s">
        <v>731</v>
      </c>
      <c r="U53" s="77">
        <v>46738</v>
      </c>
      <c r="V53" s="78">
        <f ca="1" t="shared" si="8"/>
        <v>648</v>
      </c>
      <c r="W53" s="79">
        <v>45525</v>
      </c>
      <c r="X53" s="79">
        <v>45526</v>
      </c>
      <c r="Y53" s="80">
        <f ca="1" t="shared" si="5"/>
        <v>564</v>
      </c>
    </row>
  </sheetData>
  <mergeCells count="5">
    <mergeCell ref="B1:J1"/>
    <mergeCell ref="K1:S1"/>
    <mergeCell ref="T1:V1"/>
    <mergeCell ref="W1:Y1"/>
    <mergeCell ref="A1:A2"/>
  </mergeCells>
  <conditionalFormatting sqref="C3">
    <cfRule type="duplicateValues" dxfId="0" priority="204"/>
  </conditionalFormatting>
  <conditionalFormatting sqref="D3">
    <cfRule type="duplicateValues" dxfId="0" priority="153"/>
  </conditionalFormatting>
  <conditionalFormatting sqref="E3">
    <cfRule type="duplicateValues" dxfId="0" priority="255"/>
  </conditionalFormatting>
  <conditionalFormatting sqref="H3">
    <cfRule type="colorScale" priority="40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">
    <cfRule type="colorScale" priority="5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">
    <cfRule type="colorScale" priority="35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">
    <cfRule type="colorScale" priority="30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">
    <cfRule type="colorScale" priority="10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">
    <cfRule type="duplicateValues" dxfId="0" priority="203"/>
  </conditionalFormatting>
  <conditionalFormatting sqref="D4">
    <cfRule type="duplicateValues" dxfId="0" priority="152"/>
  </conditionalFormatting>
  <conditionalFormatting sqref="E4">
    <cfRule type="duplicateValues" dxfId="0" priority="254"/>
  </conditionalFormatting>
  <conditionalFormatting sqref="H4">
    <cfRule type="colorScale" priority="40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">
    <cfRule type="colorScale" priority="5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">
    <cfRule type="colorScale" priority="35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">
    <cfRule type="colorScale" priority="30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">
    <cfRule type="colorScale" priority="101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">
    <cfRule type="duplicateValues" dxfId="0" priority="202"/>
  </conditionalFormatting>
  <conditionalFormatting sqref="D5">
    <cfRule type="duplicateValues" dxfId="0" priority="151"/>
  </conditionalFormatting>
  <conditionalFormatting sqref="E5">
    <cfRule type="duplicateValues" dxfId="0" priority="253"/>
  </conditionalFormatting>
  <conditionalFormatting sqref="H5">
    <cfRule type="colorScale" priority="40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">
    <cfRule type="colorScale" priority="4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5">
    <cfRule type="colorScale" priority="35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5">
    <cfRule type="colorScale" priority="30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5">
    <cfRule type="colorScale" priority="10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6">
    <cfRule type="duplicateValues" dxfId="0" priority="201"/>
  </conditionalFormatting>
  <conditionalFormatting sqref="D6">
    <cfRule type="duplicateValues" dxfId="0" priority="150"/>
  </conditionalFormatting>
  <conditionalFormatting sqref="E6">
    <cfRule type="duplicateValues" dxfId="0" priority="252"/>
  </conditionalFormatting>
  <conditionalFormatting sqref="H6">
    <cfRule type="colorScale" priority="40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6">
    <cfRule type="colorScale" priority="4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6">
    <cfRule type="colorScale" priority="35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6">
    <cfRule type="colorScale" priority="30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6">
    <cfRule type="colorScale" priority="99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7">
    <cfRule type="duplicateValues" dxfId="0" priority="200"/>
  </conditionalFormatting>
  <conditionalFormatting sqref="D7">
    <cfRule type="duplicateValues" dxfId="0" priority="149"/>
  </conditionalFormatting>
  <conditionalFormatting sqref="E7">
    <cfRule type="duplicateValues" dxfId="0" priority="251"/>
  </conditionalFormatting>
  <conditionalFormatting sqref="H7">
    <cfRule type="colorScale" priority="40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7">
    <cfRule type="colorScale" priority="4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7">
    <cfRule type="colorScale" priority="35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7">
    <cfRule type="colorScale" priority="30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7">
    <cfRule type="colorScale" priority="9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8">
    <cfRule type="duplicateValues" dxfId="0" priority="199"/>
  </conditionalFormatting>
  <conditionalFormatting sqref="D8">
    <cfRule type="duplicateValues" dxfId="0" priority="148"/>
  </conditionalFormatting>
  <conditionalFormatting sqref="E8">
    <cfRule type="duplicateValues" dxfId="0" priority="250"/>
  </conditionalFormatting>
  <conditionalFormatting sqref="H8">
    <cfRule type="colorScale" priority="40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8">
    <cfRule type="colorScale" priority="4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8">
    <cfRule type="colorScale" priority="35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8">
    <cfRule type="colorScale" priority="30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8">
    <cfRule type="colorScale" priority="97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9">
    <cfRule type="duplicateValues" dxfId="0" priority="198"/>
  </conditionalFormatting>
  <conditionalFormatting sqref="D9">
    <cfRule type="duplicateValues" dxfId="0" priority="147"/>
  </conditionalFormatting>
  <conditionalFormatting sqref="E9">
    <cfRule type="duplicateValues" dxfId="0" priority="249"/>
  </conditionalFormatting>
  <conditionalFormatting sqref="H9">
    <cfRule type="colorScale" priority="40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9">
    <cfRule type="colorScale" priority="4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9">
    <cfRule type="colorScale" priority="35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9">
    <cfRule type="colorScale" priority="30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9">
    <cfRule type="colorScale" priority="9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0">
    <cfRule type="duplicateValues" dxfId="0" priority="197"/>
  </conditionalFormatting>
  <conditionalFormatting sqref="D10">
    <cfRule type="duplicateValues" dxfId="0" priority="146"/>
  </conditionalFormatting>
  <conditionalFormatting sqref="E10">
    <cfRule type="duplicateValues" dxfId="0" priority="248"/>
  </conditionalFormatting>
  <conditionalFormatting sqref="H10">
    <cfRule type="colorScale" priority="40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0">
    <cfRule type="colorScale" priority="4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0">
    <cfRule type="colorScale" priority="35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0">
    <cfRule type="colorScale" priority="29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0">
    <cfRule type="colorScale" priority="9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1">
    <cfRule type="duplicateValues" dxfId="0" priority="196"/>
  </conditionalFormatting>
  <conditionalFormatting sqref="D11">
    <cfRule type="duplicateValues" dxfId="0" priority="145"/>
  </conditionalFormatting>
  <conditionalFormatting sqref="E11">
    <cfRule type="duplicateValues" dxfId="0" priority="247"/>
  </conditionalFormatting>
  <conditionalFormatting sqref="H11">
    <cfRule type="colorScale" priority="40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1">
    <cfRule type="colorScale" priority="4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1">
    <cfRule type="colorScale" priority="34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1">
    <cfRule type="colorScale" priority="29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1">
    <cfRule type="colorScale" priority="94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2">
    <cfRule type="duplicateValues" dxfId="0" priority="195"/>
  </conditionalFormatting>
  <conditionalFormatting sqref="D12">
    <cfRule type="duplicateValues" dxfId="0" priority="144"/>
  </conditionalFormatting>
  <conditionalFormatting sqref="E12">
    <cfRule type="duplicateValues" dxfId="0" priority="246"/>
  </conditionalFormatting>
  <conditionalFormatting sqref="H12">
    <cfRule type="colorScale" priority="39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2">
    <cfRule type="colorScale" priority="4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2">
    <cfRule type="colorScale" priority="34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2">
    <cfRule type="colorScale" priority="29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2">
    <cfRule type="colorScale" priority="93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3">
    <cfRule type="duplicateValues" dxfId="0" priority="194"/>
  </conditionalFormatting>
  <conditionalFormatting sqref="D13">
    <cfRule type="duplicateValues" dxfId="0" priority="143"/>
  </conditionalFormatting>
  <conditionalFormatting sqref="E13">
    <cfRule type="duplicateValues" dxfId="0" priority="245"/>
  </conditionalFormatting>
  <conditionalFormatting sqref="H13">
    <cfRule type="colorScale" priority="39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3">
    <cfRule type="colorScale" priority="4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3">
    <cfRule type="colorScale" priority="34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3">
    <cfRule type="colorScale" priority="29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3">
    <cfRule type="colorScale" priority="9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4">
    <cfRule type="duplicateValues" dxfId="0" priority="193"/>
  </conditionalFormatting>
  <conditionalFormatting sqref="D14">
    <cfRule type="duplicateValues" dxfId="0" priority="142"/>
  </conditionalFormatting>
  <conditionalFormatting sqref="E14">
    <cfRule type="duplicateValues" dxfId="0" priority="244"/>
  </conditionalFormatting>
  <conditionalFormatting sqref="H14">
    <cfRule type="colorScale" priority="39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4">
    <cfRule type="colorScale" priority="4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4">
    <cfRule type="colorScale" priority="34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4">
    <cfRule type="colorScale" priority="29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4">
    <cfRule type="colorScale" priority="91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5">
    <cfRule type="duplicateValues" dxfId="0" priority="192"/>
  </conditionalFormatting>
  <conditionalFormatting sqref="D15">
    <cfRule type="duplicateValues" dxfId="0" priority="141"/>
  </conditionalFormatting>
  <conditionalFormatting sqref="E15">
    <cfRule type="duplicateValues" dxfId="0" priority="243"/>
  </conditionalFormatting>
  <conditionalFormatting sqref="H15">
    <cfRule type="colorScale" priority="39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5">
    <cfRule type="colorScale" priority="3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5">
    <cfRule type="colorScale" priority="34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5">
    <cfRule type="colorScale" priority="29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5">
    <cfRule type="colorScale" priority="9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6">
    <cfRule type="duplicateValues" dxfId="0" priority="191"/>
  </conditionalFormatting>
  <conditionalFormatting sqref="D16">
    <cfRule type="duplicateValues" dxfId="0" priority="140"/>
  </conditionalFormatting>
  <conditionalFormatting sqref="E16">
    <cfRule type="duplicateValues" dxfId="0" priority="242"/>
  </conditionalFormatting>
  <conditionalFormatting sqref="H16">
    <cfRule type="colorScale" priority="39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6">
    <cfRule type="colorScale" priority="3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6">
    <cfRule type="colorScale" priority="34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6">
    <cfRule type="colorScale" priority="29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6">
    <cfRule type="colorScale" priority="89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7">
    <cfRule type="duplicateValues" dxfId="0" priority="190"/>
  </conditionalFormatting>
  <conditionalFormatting sqref="D17">
    <cfRule type="duplicateValues" dxfId="0" priority="139"/>
  </conditionalFormatting>
  <conditionalFormatting sqref="E17">
    <cfRule type="duplicateValues" dxfId="0" priority="241"/>
  </conditionalFormatting>
  <conditionalFormatting sqref="H17">
    <cfRule type="colorScale" priority="39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7">
    <cfRule type="colorScale" priority="3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7">
    <cfRule type="colorScale" priority="34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7">
    <cfRule type="colorScale" priority="29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7">
    <cfRule type="colorScale" priority="8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8">
    <cfRule type="duplicateValues" dxfId="0" priority="189"/>
  </conditionalFormatting>
  <conditionalFormatting sqref="D18">
    <cfRule type="duplicateValues" dxfId="0" priority="138"/>
  </conditionalFormatting>
  <conditionalFormatting sqref="E18">
    <cfRule type="duplicateValues" dxfId="0" priority="240"/>
  </conditionalFormatting>
  <conditionalFormatting sqref="H18">
    <cfRule type="colorScale" priority="39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8">
    <cfRule type="colorScale" priority="3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8">
    <cfRule type="colorScale" priority="34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8">
    <cfRule type="colorScale" priority="29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8">
    <cfRule type="colorScale" priority="87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19">
    <cfRule type="duplicateValues" dxfId="0" priority="188"/>
  </conditionalFormatting>
  <conditionalFormatting sqref="D19">
    <cfRule type="duplicateValues" dxfId="0" priority="137"/>
  </conditionalFormatting>
  <conditionalFormatting sqref="E19">
    <cfRule type="duplicateValues" dxfId="0" priority="239"/>
  </conditionalFormatting>
  <conditionalFormatting sqref="H19">
    <cfRule type="colorScale" priority="39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19">
    <cfRule type="colorScale" priority="3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19">
    <cfRule type="colorScale" priority="34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19">
    <cfRule type="colorScale" priority="29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19">
    <cfRule type="colorScale" priority="8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0">
    <cfRule type="duplicateValues" dxfId="0" priority="187"/>
  </conditionalFormatting>
  <conditionalFormatting sqref="D20">
    <cfRule type="duplicateValues" dxfId="0" priority="136"/>
  </conditionalFormatting>
  <conditionalFormatting sqref="E20">
    <cfRule type="duplicateValues" dxfId="0" priority="238"/>
  </conditionalFormatting>
  <conditionalFormatting sqref="H20">
    <cfRule type="colorScale" priority="39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0">
    <cfRule type="colorScale" priority="3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0">
    <cfRule type="colorScale" priority="34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0">
    <cfRule type="colorScale" priority="28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0">
    <cfRule type="colorScale" priority="8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1">
    <cfRule type="duplicateValues" dxfId="0" priority="186"/>
  </conditionalFormatting>
  <conditionalFormatting sqref="D21">
    <cfRule type="duplicateValues" dxfId="0" priority="135"/>
  </conditionalFormatting>
  <conditionalFormatting sqref="E21">
    <cfRule type="duplicateValues" dxfId="0" priority="237"/>
  </conditionalFormatting>
  <conditionalFormatting sqref="H21">
    <cfRule type="colorScale" priority="39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1">
    <cfRule type="colorScale" priority="3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1">
    <cfRule type="colorScale" priority="33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1">
    <cfRule type="colorScale" priority="28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1">
    <cfRule type="colorScale" priority="84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2">
    <cfRule type="duplicateValues" dxfId="0" priority="185"/>
  </conditionalFormatting>
  <conditionalFormatting sqref="D22">
    <cfRule type="duplicateValues" dxfId="0" priority="134"/>
  </conditionalFormatting>
  <conditionalFormatting sqref="E22">
    <cfRule type="duplicateValues" dxfId="0" priority="236"/>
  </conditionalFormatting>
  <conditionalFormatting sqref="H22">
    <cfRule type="colorScale" priority="38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2">
    <cfRule type="colorScale" priority="3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2">
    <cfRule type="colorScale" priority="33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2">
    <cfRule type="colorScale" priority="28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2">
    <cfRule type="colorScale" priority="83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3">
    <cfRule type="duplicateValues" dxfId="0" priority="184"/>
  </conditionalFormatting>
  <conditionalFormatting sqref="D23">
    <cfRule type="duplicateValues" dxfId="0" priority="133"/>
  </conditionalFormatting>
  <conditionalFormatting sqref="E23">
    <cfRule type="duplicateValues" dxfId="0" priority="235"/>
  </conditionalFormatting>
  <conditionalFormatting sqref="H23">
    <cfRule type="colorScale" priority="38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3">
    <cfRule type="colorScale" priority="3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3">
    <cfRule type="colorScale" priority="33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3">
    <cfRule type="colorScale" priority="28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3">
    <cfRule type="colorScale" priority="8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4">
    <cfRule type="duplicateValues" dxfId="0" priority="183"/>
  </conditionalFormatting>
  <conditionalFormatting sqref="D24">
    <cfRule type="duplicateValues" dxfId="0" priority="132"/>
  </conditionalFormatting>
  <conditionalFormatting sqref="E24">
    <cfRule type="duplicateValues" dxfId="0" priority="234"/>
  </conditionalFormatting>
  <conditionalFormatting sqref="H24">
    <cfRule type="colorScale" priority="38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4">
    <cfRule type="colorScale" priority="3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4">
    <cfRule type="colorScale" priority="33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4">
    <cfRule type="colorScale" priority="28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4">
    <cfRule type="colorScale" priority="81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5">
    <cfRule type="duplicateValues" dxfId="0" priority="182"/>
  </conditionalFormatting>
  <conditionalFormatting sqref="D25">
    <cfRule type="duplicateValues" dxfId="0" priority="131"/>
  </conditionalFormatting>
  <conditionalFormatting sqref="E25">
    <cfRule type="duplicateValues" dxfId="0" priority="233"/>
  </conditionalFormatting>
  <conditionalFormatting sqref="H25">
    <cfRule type="colorScale" priority="38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5">
    <cfRule type="colorScale" priority="2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5">
    <cfRule type="colorScale" priority="33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5">
    <cfRule type="colorScale" priority="28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5">
    <cfRule type="colorScale" priority="8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6">
    <cfRule type="duplicateValues" dxfId="0" priority="181"/>
  </conditionalFormatting>
  <conditionalFormatting sqref="D26">
    <cfRule type="duplicateValues" dxfId="0" priority="130"/>
  </conditionalFormatting>
  <conditionalFormatting sqref="E26">
    <cfRule type="duplicateValues" dxfId="0" priority="232"/>
  </conditionalFormatting>
  <conditionalFormatting sqref="H26">
    <cfRule type="colorScale" priority="38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6">
    <cfRule type="colorScale" priority="2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6">
    <cfRule type="colorScale" priority="33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6">
    <cfRule type="colorScale" priority="28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6">
    <cfRule type="colorScale" priority="79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7">
    <cfRule type="duplicateValues" dxfId="0" priority="180"/>
  </conditionalFormatting>
  <conditionalFormatting sqref="D27">
    <cfRule type="duplicateValues" dxfId="0" priority="129"/>
  </conditionalFormatting>
  <conditionalFormatting sqref="E27">
    <cfRule type="duplicateValues" dxfId="0" priority="231"/>
  </conditionalFormatting>
  <conditionalFormatting sqref="H27">
    <cfRule type="colorScale" priority="38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7">
    <cfRule type="colorScale" priority="2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7">
    <cfRule type="colorScale" priority="33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7">
    <cfRule type="colorScale" priority="28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7">
    <cfRule type="colorScale" priority="7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8">
    <cfRule type="duplicateValues" dxfId="0" priority="179"/>
  </conditionalFormatting>
  <conditionalFormatting sqref="D28">
    <cfRule type="duplicateValues" dxfId="0" priority="128"/>
  </conditionalFormatting>
  <conditionalFormatting sqref="E28">
    <cfRule type="duplicateValues" dxfId="0" priority="230"/>
  </conditionalFormatting>
  <conditionalFormatting sqref="H28">
    <cfRule type="colorScale" priority="38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8">
    <cfRule type="colorScale" priority="2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8">
    <cfRule type="colorScale" priority="33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8">
    <cfRule type="colorScale" priority="28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8">
    <cfRule type="colorScale" priority="77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29">
    <cfRule type="duplicateValues" dxfId="0" priority="178"/>
  </conditionalFormatting>
  <conditionalFormatting sqref="D29">
    <cfRule type="duplicateValues" dxfId="0" priority="127"/>
  </conditionalFormatting>
  <conditionalFormatting sqref="E29">
    <cfRule type="duplicateValues" dxfId="0" priority="229"/>
  </conditionalFormatting>
  <conditionalFormatting sqref="H29">
    <cfRule type="colorScale" priority="38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29">
    <cfRule type="colorScale" priority="2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29">
    <cfRule type="colorScale" priority="33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29">
    <cfRule type="colorScale" priority="28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29">
    <cfRule type="colorScale" priority="7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0">
    <cfRule type="duplicateValues" dxfId="0" priority="177"/>
  </conditionalFormatting>
  <conditionalFormatting sqref="D30">
    <cfRule type="duplicateValues" dxfId="0" priority="126"/>
  </conditionalFormatting>
  <conditionalFormatting sqref="E30">
    <cfRule type="duplicateValues" dxfId="0" priority="228"/>
  </conditionalFormatting>
  <conditionalFormatting sqref="H30">
    <cfRule type="colorScale" priority="38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0">
    <cfRule type="colorScale" priority="2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0">
    <cfRule type="colorScale" priority="33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0">
    <cfRule type="colorScale" priority="27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0">
    <cfRule type="colorScale" priority="7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1">
    <cfRule type="duplicateValues" dxfId="0" priority="176"/>
  </conditionalFormatting>
  <conditionalFormatting sqref="D31">
    <cfRule type="duplicateValues" dxfId="0" priority="125"/>
  </conditionalFormatting>
  <conditionalFormatting sqref="E31">
    <cfRule type="duplicateValues" dxfId="0" priority="227"/>
  </conditionalFormatting>
  <conditionalFormatting sqref="H31">
    <cfRule type="colorScale" priority="38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1">
    <cfRule type="colorScale" priority="2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1">
    <cfRule type="colorScale" priority="32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1">
    <cfRule type="colorScale" priority="27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1">
    <cfRule type="colorScale" priority="74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2">
    <cfRule type="duplicateValues" dxfId="0" priority="175"/>
  </conditionalFormatting>
  <conditionalFormatting sqref="D32">
    <cfRule type="duplicateValues" dxfId="0" priority="124"/>
  </conditionalFormatting>
  <conditionalFormatting sqref="E32">
    <cfRule type="duplicateValues" dxfId="0" priority="226"/>
  </conditionalFormatting>
  <conditionalFormatting sqref="H32">
    <cfRule type="colorScale" priority="37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2">
    <cfRule type="colorScale" priority="2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2">
    <cfRule type="colorScale" priority="32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2">
    <cfRule type="colorScale" priority="27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2">
    <cfRule type="colorScale" priority="73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3">
    <cfRule type="duplicateValues" dxfId="0" priority="174"/>
  </conditionalFormatting>
  <conditionalFormatting sqref="D33">
    <cfRule type="duplicateValues" dxfId="0" priority="123"/>
  </conditionalFormatting>
  <conditionalFormatting sqref="E33">
    <cfRule type="duplicateValues" dxfId="0" priority="225"/>
  </conditionalFormatting>
  <conditionalFormatting sqref="H33">
    <cfRule type="colorScale" priority="37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3">
    <cfRule type="colorScale" priority="2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3">
    <cfRule type="colorScale" priority="32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3">
    <cfRule type="colorScale" priority="27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3">
    <cfRule type="colorScale" priority="7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4">
    <cfRule type="duplicateValues" dxfId="0" priority="173"/>
  </conditionalFormatting>
  <conditionalFormatting sqref="D34">
    <cfRule type="duplicateValues" dxfId="0" priority="122"/>
  </conditionalFormatting>
  <conditionalFormatting sqref="E34">
    <cfRule type="duplicateValues" dxfId="0" priority="224"/>
  </conditionalFormatting>
  <conditionalFormatting sqref="H34">
    <cfRule type="colorScale" priority="37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4">
    <cfRule type="colorScale" priority="2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4">
    <cfRule type="colorScale" priority="32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4">
    <cfRule type="colorScale" priority="27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4">
    <cfRule type="colorScale" priority="71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5">
    <cfRule type="duplicateValues" dxfId="0" priority="172"/>
  </conditionalFormatting>
  <conditionalFormatting sqref="D35">
    <cfRule type="duplicateValues" dxfId="0" priority="121"/>
  </conditionalFormatting>
  <conditionalFormatting sqref="E35">
    <cfRule type="duplicateValues" dxfId="0" priority="223"/>
  </conditionalFormatting>
  <conditionalFormatting sqref="H35">
    <cfRule type="colorScale" priority="37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5">
    <cfRule type="colorScale" priority="1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5">
    <cfRule type="colorScale" priority="32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5">
    <cfRule type="colorScale" priority="27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5">
    <cfRule type="colorScale" priority="7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6">
    <cfRule type="duplicateValues" dxfId="0" priority="171"/>
  </conditionalFormatting>
  <conditionalFormatting sqref="D36">
    <cfRule type="duplicateValues" dxfId="0" priority="120"/>
  </conditionalFormatting>
  <conditionalFormatting sqref="E36">
    <cfRule type="duplicateValues" dxfId="0" priority="222"/>
  </conditionalFormatting>
  <conditionalFormatting sqref="H36">
    <cfRule type="colorScale" priority="37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6">
    <cfRule type="colorScale" priority="1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6">
    <cfRule type="colorScale" priority="32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6">
    <cfRule type="colorScale" priority="27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6">
    <cfRule type="colorScale" priority="69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7">
    <cfRule type="duplicateValues" dxfId="0" priority="170"/>
  </conditionalFormatting>
  <conditionalFormatting sqref="D37">
    <cfRule type="duplicateValues" dxfId="0" priority="119"/>
  </conditionalFormatting>
  <conditionalFormatting sqref="E37">
    <cfRule type="duplicateValues" dxfId="0" priority="221"/>
  </conditionalFormatting>
  <conditionalFormatting sqref="H37">
    <cfRule type="colorScale" priority="37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7">
    <cfRule type="colorScale" priority="1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7">
    <cfRule type="colorScale" priority="32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7">
    <cfRule type="colorScale" priority="27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7">
    <cfRule type="colorScale" priority="6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8">
    <cfRule type="duplicateValues" dxfId="0" priority="169"/>
  </conditionalFormatting>
  <conditionalFormatting sqref="D38">
    <cfRule type="duplicateValues" dxfId="0" priority="118"/>
  </conditionalFormatting>
  <conditionalFormatting sqref="E38">
    <cfRule type="duplicateValues" dxfId="0" priority="220"/>
  </conditionalFormatting>
  <conditionalFormatting sqref="H38">
    <cfRule type="colorScale" priority="37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8">
    <cfRule type="colorScale" priority="1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8">
    <cfRule type="colorScale" priority="32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8">
    <cfRule type="colorScale" priority="27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8">
    <cfRule type="colorScale" priority="67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39">
    <cfRule type="duplicateValues" dxfId="0" priority="168"/>
  </conditionalFormatting>
  <conditionalFormatting sqref="D39">
    <cfRule type="duplicateValues" dxfId="0" priority="117"/>
  </conditionalFormatting>
  <conditionalFormatting sqref="E39">
    <cfRule type="duplicateValues" dxfId="0" priority="219"/>
  </conditionalFormatting>
  <conditionalFormatting sqref="H39">
    <cfRule type="colorScale" priority="37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39">
    <cfRule type="colorScale" priority="1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39">
    <cfRule type="colorScale" priority="32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39">
    <cfRule type="colorScale" priority="27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9">
    <cfRule type="colorScale" priority="6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0">
    <cfRule type="duplicateValues" dxfId="0" priority="167"/>
  </conditionalFormatting>
  <conditionalFormatting sqref="D40">
    <cfRule type="duplicateValues" dxfId="0" priority="116"/>
  </conditionalFormatting>
  <conditionalFormatting sqref="E40">
    <cfRule type="duplicateValues" dxfId="0" priority="218"/>
  </conditionalFormatting>
  <conditionalFormatting sqref="H40">
    <cfRule type="colorScale" priority="37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0">
    <cfRule type="colorScale" priority="1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0">
    <cfRule type="colorScale" priority="32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0">
    <cfRule type="colorScale" priority="26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0">
    <cfRule type="colorScale" priority="6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1">
    <cfRule type="duplicateValues" dxfId="0" priority="166"/>
  </conditionalFormatting>
  <conditionalFormatting sqref="D41">
    <cfRule type="duplicateValues" dxfId="0" priority="115"/>
  </conditionalFormatting>
  <conditionalFormatting sqref="E41">
    <cfRule type="duplicateValues" dxfId="0" priority="217"/>
  </conditionalFormatting>
  <conditionalFormatting sqref="H41">
    <cfRule type="colorScale" priority="37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1">
    <cfRule type="colorScale" priority="1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1">
    <cfRule type="colorScale" priority="31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1">
    <cfRule type="colorScale" priority="26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1">
    <cfRule type="colorScale" priority="64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2">
    <cfRule type="duplicateValues" dxfId="0" priority="165"/>
  </conditionalFormatting>
  <conditionalFormatting sqref="D42">
    <cfRule type="duplicateValues" dxfId="0" priority="114"/>
  </conditionalFormatting>
  <conditionalFormatting sqref="E42">
    <cfRule type="duplicateValues" dxfId="0" priority="216"/>
  </conditionalFormatting>
  <conditionalFormatting sqref="H42">
    <cfRule type="colorScale" priority="36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2">
    <cfRule type="colorScale" priority="1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2">
    <cfRule type="colorScale" priority="31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2">
    <cfRule type="colorScale" priority="26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2">
    <cfRule type="colorScale" priority="63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3">
    <cfRule type="duplicateValues" dxfId="0" priority="164"/>
  </conditionalFormatting>
  <conditionalFormatting sqref="D43">
    <cfRule type="duplicateValues" dxfId="0" priority="113"/>
  </conditionalFormatting>
  <conditionalFormatting sqref="E43">
    <cfRule type="duplicateValues" dxfId="0" priority="215"/>
  </conditionalFormatting>
  <conditionalFormatting sqref="H43">
    <cfRule type="colorScale" priority="36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3">
    <cfRule type="colorScale" priority="1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3">
    <cfRule type="colorScale" priority="31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3">
    <cfRule type="colorScale" priority="26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3">
    <cfRule type="colorScale" priority="6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4">
    <cfRule type="duplicateValues" dxfId="0" priority="163"/>
  </conditionalFormatting>
  <conditionalFormatting sqref="D44">
    <cfRule type="duplicateValues" dxfId="0" priority="112"/>
  </conditionalFormatting>
  <conditionalFormatting sqref="E44">
    <cfRule type="duplicateValues" dxfId="0" priority="214"/>
  </conditionalFormatting>
  <conditionalFormatting sqref="H44">
    <cfRule type="colorScale" priority="36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4">
    <cfRule type="colorScale" priority="1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4">
    <cfRule type="colorScale" priority="31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4">
    <cfRule type="colorScale" priority="26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4">
    <cfRule type="colorScale" priority="61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5">
    <cfRule type="duplicateValues" dxfId="0" priority="162"/>
  </conditionalFormatting>
  <conditionalFormatting sqref="D45">
    <cfRule type="duplicateValues" dxfId="0" priority="111"/>
  </conditionalFormatting>
  <conditionalFormatting sqref="E45">
    <cfRule type="duplicateValues" dxfId="0" priority="213"/>
  </conditionalFormatting>
  <conditionalFormatting sqref="H45">
    <cfRule type="colorScale" priority="36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5">
    <cfRule type="colorScale" priority="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5">
    <cfRule type="colorScale" priority="31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5">
    <cfRule type="colorScale" priority="26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5">
    <cfRule type="colorScale" priority="60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6">
    <cfRule type="duplicateValues" dxfId="0" priority="161"/>
  </conditionalFormatting>
  <conditionalFormatting sqref="D46">
    <cfRule type="duplicateValues" dxfId="0" priority="110"/>
  </conditionalFormatting>
  <conditionalFormatting sqref="E46">
    <cfRule type="duplicateValues" dxfId="0" priority="212"/>
  </conditionalFormatting>
  <conditionalFormatting sqref="H46">
    <cfRule type="colorScale" priority="36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6">
    <cfRule type="colorScale" priority="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6">
    <cfRule type="colorScale" priority="31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6">
    <cfRule type="colorScale" priority="26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6">
    <cfRule type="colorScale" priority="59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7">
    <cfRule type="duplicateValues" dxfId="0" priority="160"/>
  </conditionalFormatting>
  <conditionalFormatting sqref="D47">
    <cfRule type="duplicateValues" dxfId="0" priority="109"/>
  </conditionalFormatting>
  <conditionalFormatting sqref="E47">
    <cfRule type="duplicateValues" dxfId="0" priority="211"/>
  </conditionalFormatting>
  <conditionalFormatting sqref="H47">
    <cfRule type="colorScale" priority="36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7">
    <cfRule type="colorScale" priority="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7">
    <cfRule type="colorScale" priority="31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7">
    <cfRule type="colorScale" priority="26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7">
    <cfRule type="colorScale" priority="58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8">
    <cfRule type="duplicateValues" dxfId="0" priority="159"/>
  </conditionalFormatting>
  <conditionalFormatting sqref="D48">
    <cfRule type="duplicateValues" dxfId="0" priority="108"/>
  </conditionalFormatting>
  <conditionalFormatting sqref="E48">
    <cfRule type="duplicateValues" dxfId="0" priority="210"/>
  </conditionalFormatting>
  <conditionalFormatting sqref="H48">
    <cfRule type="colorScale" priority="36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8">
    <cfRule type="colorScale" priority="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8">
    <cfRule type="colorScale" priority="31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8">
    <cfRule type="colorScale" priority="26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8">
    <cfRule type="colorScale" priority="57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49">
    <cfRule type="duplicateValues" dxfId="0" priority="158"/>
  </conditionalFormatting>
  <conditionalFormatting sqref="D49">
    <cfRule type="duplicateValues" dxfId="0" priority="107"/>
  </conditionalFormatting>
  <conditionalFormatting sqref="E49">
    <cfRule type="duplicateValues" dxfId="0" priority="209"/>
  </conditionalFormatting>
  <conditionalFormatting sqref="H49">
    <cfRule type="colorScale" priority="36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9">
    <cfRule type="colorScale" priority="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49">
    <cfRule type="colorScale" priority="31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49">
    <cfRule type="colorScale" priority="26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49">
    <cfRule type="colorScale" priority="5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0">
    <cfRule type="duplicateValues" dxfId="0" priority="157"/>
  </conditionalFormatting>
  <conditionalFormatting sqref="D50">
    <cfRule type="duplicateValues" dxfId="0" priority="106"/>
  </conditionalFormatting>
  <conditionalFormatting sqref="E50">
    <cfRule type="duplicateValues" dxfId="0" priority="208"/>
  </conditionalFormatting>
  <conditionalFormatting sqref="H50">
    <cfRule type="colorScale" priority="36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0">
    <cfRule type="colorScale" priority="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50">
    <cfRule type="colorScale" priority="31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50">
    <cfRule type="colorScale" priority="25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50">
    <cfRule type="colorScale" priority="5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1">
    <cfRule type="duplicateValues" dxfId="0" priority="156"/>
  </conditionalFormatting>
  <conditionalFormatting sqref="D51">
    <cfRule type="duplicateValues" dxfId="0" priority="105"/>
  </conditionalFormatting>
  <conditionalFormatting sqref="E51">
    <cfRule type="duplicateValues" dxfId="0" priority="207"/>
  </conditionalFormatting>
  <conditionalFormatting sqref="H51">
    <cfRule type="colorScale" priority="36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1">
    <cfRule type="colorScale" priority="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51">
    <cfRule type="colorScale" priority="30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51">
    <cfRule type="colorScale" priority="25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51">
    <cfRule type="colorScale" priority="54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2">
    <cfRule type="duplicateValues" dxfId="0" priority="155"/>
  </conditionalFormatting>
  <conditionalFormatting sqref="D52">
    <cfRule type="duplicateValues" dxfId="0" priority="104"/>
  </conditionalFormatting>
  <conditionalFormatting sqref="E52">
    <cfRule type="duplicateValues" dxfId="0" priority="206"/>
  </conditionalFormatting>
  <conditionalFormatting sqref="H52">
    <cfRule type="colorScale" priority="35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2">
    <cfRule type="colorScale" priority="2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52">
    <cfRule type="colorScale" priority="30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52">
    <cfRule type="colorScale" priority="25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52">
    <cfRule type="colorScale" priority="53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3">
    <cfRule type="duplicateValues" dxfId="0" priority="154"/>
  </conditionalFormatting>
  <conditionalFormatting sqref="D53">
    <cfRule type="duplicateValues" dxfId="0" priority="103"/>
  </conditionalFormatting>
  <conditionalFormatting sqref="E53">
    <cfRule type="duplicateValues" dxfId="0" priority="205"/>
  </conditionalFormatting>
  <conditionalFormatting sqref="H53">
    <cfRule type="colorScale" priority="35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3">
    <cfRule type="colorScale" priority="1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J53">
    <cfRule type="colorScale" priority="30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L53">
    <cfRule type="colorScale" priority="256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53">
    <cfRule type="colorScale" priority="52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F16" sqref="F16"/>
    </sheetView>
  </sheetViews>
  <sheetFormatPr defaultColWidth="8.88888888888889" defaultRowHeight="14.4" outlineLevelRow="4"/>
  <cols>
    <col min="1" max="9" width="8.88888888888889" style="2"/>
    <col min="10" max="10" width="14.3333333333333" style="2"/>
    <col min="11" max="11" width="13" style="2"/>
    <col min="12" max="12" width="14.3333333333333" style="2"/>
    <col min="13" max="17" width="8.88888888888889" style="2"/>
    <col min="18" max="18" width="14.3333333333333" style="2"/>
    <col min="19" max="19" width="8.88888888888889" style="2"/>
    <col min="20" max="20" width="15.7777777777778" style="2"/>
    <col min="21" max="22" width="8.88888888888889" style="2"/>
    <col min="23" max="24" width="12.4444444444444" style="2"/>
    <col min="25" max="16384" width="8.88888888888889" style="2"/>
  </cols>
  <sheetData>
    <row r="1" s="1" customFormat="1" ht="22.5" customHeight="1" spans="1:2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 t="s">
        <v>1</v>
      </c>
      <c r="L1" s="7"/>
      <c r="M1" s="7"/>
      <c r="N1" s="7"/>
      <c r="O1" s="7"/>
      <c r="P1" s="7"/>
      <c r="Q1" s="7"/>
      <c r="R1" s="7"/>
      <c r="S1" s="7"/>
      <c r="T1" s="8" t="s">
        <v>2</v>
      </c>
      <c r="U1" s="8"/>
      <c r="V1" s="8"/>
      <c r="W1" s="9"/>
      <c r="X1" s="10" t="s">
        <v>3</v>
      </c>
      <c r="Y1" s="11"/>
      <c r="Z1" s="12"/>
    </row>
    <row r="2" s="1" customFormat="1" ht="39" customHeight="1" spans="1:26">
      <c r="A2" s="13"/>
      <c r="B2" s="14" t="s">
        <v>4</v>
      </c>
      <c r="C2" s="15" t="s">
        <v>5</v>
      </c>
      <c r="D2" s="15" t="s">
        <v>6</v>
      </c>
      <c r="E2" s="16" t="s">
        <v>8</v>
      </c>
      <c r="F2" s="16" t="s">
        <v>9</v>
      </c>
      <c r="G2" s="15" t="s">
        <v>10</v>
      </c>
      <c r="H2" s="15" t="s">
        <v>11</v>
      </c>
      <c r="I2" s="17" t="s">
        <v>12</v>
      </c>
      <c r="J2" s="18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15</v>
      </c>
      <c r="S2" s="19" t="s">
        <v>21</v>
      </c>
      <c r="T2" s="20" t="s">
        <v>22</v>
      </c>
      <c r="U2" s="21" t="s">
        <v>23</v>
      </c>
      <c r="V2" s="22" t="s">
        <v>732</v>
      </c>
      <c r="W2" s="23" t="s">
        <v>24</v>
      </c>
      <c r="X2" s="15" t="s">
        <v>25</v>
      </c>
      <c r="Y2" s="24" t="s">
        <v>26</v>
      </c>
    </row>
    <row r="3" s="2" customFormat="1" ht="27" customHeight="1" spans="1:26">
      <c r="A3" s="25">
        <v>1</v>
      </c>
      <c r="B3" s="25">
        <v>1</v>
      </c>
      <c r="C3" s="26" t="s">
        <v>733</v>
      </c>
      <c r="D3" s="27" t="s">
        <v>734</v>
      </c>
      <c r="E3" s="25" t="s">
        <v>735</v>
      </c>
      <c r="F3" s="25" t="s">
        <v>421</v>
      </c>
      <c r="G3" s="28">
        <v>40</v>
      </c>
      <c r="H3" s="28" t="s">
        <v>736</v>
      </c>
      <c r="I3" s="29" t="s">
        <v>737</v>
      </c>
      <c r="J3" s="150" t="s">
        <v>738</v>
      </c>
      <c r="K3" s="28">
        <v>19850729</v>
      </c>
      <c r="L3" s="151" t="s">
        <v>739</v>
      </c>
      <c r="M3" s="25" t="s">
        <v>740</v>
      </c>
      <c r="N3" s="28"/>
      <c r="O3" s="25"/>
      <c r="P3" s="25" t="s">
        <v>741</v>
      </c>
      <c r="Q3" s="25"/>
      <c r="R3" s="25"/>
      <c r="S3" s="31" t="s">
        <v>742</v>
      </c>
      <c r="T3" s="32">
        <v>47442</v>
      </c>
      <c r="U3" s="33">
        <v>1526</v>
      </c>
      <c r="V3" s="25"/>
      <c r="W3" s="34">
        <v>45899</v>
      </c>
      <c r="X3" s="34">
        <v>45900</v>
      </c>
      <c r="Y3" s="35">
        <f ca="1">TODAY()-X3</f>
        <v>190</v>
      </c>
    </row>
    <row r="4" s="3" customFormat="1" ht="33" customHeight="1" spans="1:26">
      <c r="A4" s="36">
        <v>1</v>
      </c>
      <c r="B4" s="36" t="s">
        <v>743</v>
      </c>
      <c r="C4" s="37" t="s">
        <v>744</v>
      </c>
      <c r="D4" s="38" t="s">
        <v>745</v>
      </c>
      <c r="E4" s="39" t="s">
        <v>735</v>
      </c>
      <c r="F4" s="39"/>
      <c r="G4" s="28">
        <v>24</v>
      </c>
      <c r="H4" s="28" t="s">
        <v>746</v>
      </c>
      <c r="I4" s="29" t="s">
        <v>747</v>
      </c>
      <c r="J4" s="150" t="s">
        <v>748</v>
      </c>
      <c r="K4" s="3" t="s">
        <v>749</v>
      </c>
      <c r="L4" s="40">
        <v>18806216367</v>
      </c>
      <c r="M4" s="28" t="s">
        <v>750</v>
      </c>
      <c r="N4" s="28" t="s">
        <v>751</v>
      </c>
      <c r="O4" s="28" t="s">
        <v>752</v>
      </c>
      <c r="P4" s="28" t="s">
        <v>753</v>
      </c>
      <c r="Q4" s="28" t="s">
        <v>754</v>
      </c>
      <c r="R4" s="41">
        <v>13603400734</v>
      </c>
      <c r="S4" s="39" t="s">
        <v>755</v>
      </c>
      <c r="T4" s="42">
        <v>47281</v>
      </c>
      <c r="U4" s="43">
        <f ca="1">T4-TODAY()</f>
        <v>1191</v>
      </c>
      <c r="V4" s="28"/>
      <c r="W4" s="34" t="s">
        <v>756</v>
      </c>
      <c r="X4" s="34" t="s">
        <v>756</v>
      </c>
      <c r="Y4" s="28"/>
    </row>
    <row r="5" s="3" customFormat="1" ht="33" customHeight="1" spans="1:26">
      <c r="A5" s="36">
        <v>2</v>
      </c>
      <c r="B5" s="36" t="s">
        <v>757</v>
      </c>
      <c r="C5" s="37" t="s">
        <v>758</v>
      </c>
      <c r="D5" s="38" t="s">
        <v>759</v>
      </c>
      <c r="E5" s="39" t="s">
        <v>760</v>
      </c>
      <c r="F5" s="39"/>
      <c r="G5" s="28">
        <v>54</v>
      </c>
      <c r="H5" s="28" t="s">
        <v>746</v>
      </c>
      <c r="I5" s="29"/>
      <c r="J5" s="30">
        <v>6.10113197101161e+17</v>
      </c>
      <c r="K5" s="3">
        <v>25949</v>
      </c>
      <c r="L5" s="40">
        <v>18654668512</v>
      </c>
      <c r="M5" s="28" t="s">
        <v>750</v>
      </c>
      <c r="N5" s="28" t="s">
        <v>751</v>
      </c>
      <c r="O5" s="28" t="s">
        <v>752</v>
      </c>
      <c r="P5" s="28" t="s">
        <v>761</v>
      </c>
      <c r="Q5" s="28" t="s">
        <v>762</v>
      </c>
      <c r="R5" s="41">
        <v>18654696512</v>
      </c>
      <c r="S5" s="39" t="s">
        <v>763</v>
      </c>
      <c r="T5" s="42">
        <v>49275</v>
      </c>
      <c r="U5" s="43">
        <f ca="1">T5-TODAY()</f>
        <v>3185</v>
      </c>
      <c r="V5" s="28"/>
      <c r="W5" s="34">
        <v>45991</v>
      </c>
      <c r="X5" s="34">
        <v>45991</v>
      </c>
      <c r="Y5" s="28"/>
    </row>
  </sheetData>
  <mergeCells count="5">
    <mergeCell ref="B1:J1"/>
    <mergeCell ref="K1:S1"/>
    <mergeCell ref="T1:V1"/>
    <mergeCell ref="X1:Z1"/>
    <mergeCell ref="A1:A2"/>
  </mergeCells>
  <conditionalFormatting sqref="C3">
    <cfRule type="duplicateValues" dxfId="0" priority="50"/>
  </conditionalFormatting>
  <conditionalFormatting sqref="D3">
    <cfRule type="duplicateValues" dxfId="0" priority="51"/>
  </conditionalFormatting>
  <conditionalFormatting sqref="G3">
    <cfRule type="colorScale" priority="55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H3:I3">
    <cfRule type="colorScale" priority="6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K3">
    <cfRule type="colorScale" priority="5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Y3">
    <cfRule type="cellIs" dxfId="1" priority="53" operator="lessThan">
      <formula>3</formula>
    </cfRule>
  </conditionalFormatting>
  <conditionalFormatting sqref="C4">
    <cfRule type="duplicateValues" dxfId="2" priority="4"/>
  </conditionalFormatting>
  <conditionalFormatting sqref="D4">
    <cfRule type="duplicateValues" dxfId="0" priority="28"/>
  </conditionalFormatting>
  <conditionalFormatting sqref="H4">
    <cfRule type="colorScale" priority="8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4">
    <cfRule type="colorScale" priority="20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U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{fae79b2a-142d-4340-b8b5-fe237f639079}</x14:id>
        </ext>
      </extLst>
    </cfRule>
  </conditionalFormatting>
  <conditionalFormatting sqref="Y4">
    <cfRule type="colorScale" priority="26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C5">
    <cfRule type="duplicateValues" dxfId="2" priority="3"/>
  </conditionalFormatting>
  <conditionalFormatting sqref="D5">
    <cfRule type="duplicateValues" dxfId="0" priority="27"/>
  </conditionalFormatting>
  <conditionalFormatting sqref="H5">
    <cfRule type="colorScale" priority="7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I5">
    <cfRule type="colorScale" priority="19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U5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{a8b0e3fc-1eb6-4524-afb4-a7a11786a478}</x14:id>
        </ext>
      </extLst>
    </cfRule>
  </conditionalFormatting>
  <conditionalFormatting sqref="Y5">
    <cfRule type="colorScale" priority="25">
      <colorScale>
        <cfvo type="num" val="0"/>
        <cfvo type="num" val="365"/>
        <cfvo type="num" val="730"/>
        <color rgb="FF00B050"/>
        <color rgb="FFFFEB84"/>
        <color rgb="FFFF0000"/>
      </colorScale>
    </cfRule>
  </conditionalFormatting>
  <conditionalFormatting sqref="M4:Q4 G4">
    <cfRule type="colorScale" priority="24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conditionalFormatting sqref="M5:Q5 G5">
    <cfRule type="colorScale" priority="23">
      <colorScale>
        <cfvo type="num" val="50"/>
        <cfvo type="num" val="54"/>
        <cfvo type="num" val="55"/>
        <color rgb="FF92D050"/>
        <color rgb="FFFFC000"/>
        <color rgb="FFFF0000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e79b2a-142d-4340-b8b5-fe237f6390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</xm:sqref>
        </x14:conditionalFormatting>
        <x14:conditionalFormatting xmlns:xm="http://schemas.microsoft.com/office/excel/2006/main">
          <x14:cfRule type="dataBar" id="{a8b0e3fc-1eb6-4524-afb4-a7a11786a4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CSI</vt:lpstr>
      <vt:lpstr>江都</vt:lpstr>
      <vt:lpstr>省建</vt:lpstr>
      <vt:lpstr>科林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Soloist</cp:lastModifiedBy>
  <dcterms:created xsi:type="dcterms:W3CDTF">2023-05-12T11:15:00Z</dcterms:created>
  <dcterms:modified xsi:type="dcterms:W3CDTF">2026-03-09T13:46:36Z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F9E98036FF5F4AE09C7971AB14960732_12</vt:lpwstr>
  </property>
  <property fmtid="{D5CDD505-2E9C-101B-9397-08002B2CF9AE}" pid="4" name="CalculationRule">
    <vt:i4>0</vt:i4>
  </property>
</Properties>
</file>